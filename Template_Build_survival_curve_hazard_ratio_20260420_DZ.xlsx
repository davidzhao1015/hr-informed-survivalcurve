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xinzhao/DS_Projects/build-survival-curve-hazardratio/"/>
    </mc:Choice>
  </mc:AlternateContent>
  <xr:revisionPtr revIDLastSave="0" documentId="13_ncr:1_{5B26BAF6-BC65-F04E-842E-24CB3425B85D}" xr6:coauthVersionLast="47" xr6:coauthVersionMax="47" xr10:uidLastSave="{00000000-0000-0000-0000-000000000000}"/>
  <bookViews>
    <workbookView xWindow="30240" yWindow="600" windowWidth="37220" windowHeight="21000" xr2:uid="{120A936B-BDCD-7149-9B97-5E03885B164C}"/>
  </bookViews>
  <sheets>
    <sheet name="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1" l="1"/>
  <c r="R28" i="1"/>
  <c r="Q28" i="1"/>
  <c r="P29" i="1"/>
  <c r="P30" i="1"/>
  <c r="P31" i="1"/>
  <c r="P32" i="1"/>
  <c r="P33" i="1"/>
  <c r="P34" i="1"/>
  <c r="P35" i="1"/>
  <c r="P36" i="1"/>
  <c r="P37" i="1"/>
  <c r="P38" i="1"/>
  <c r="P39" i="1"/>
  <c r="P40" i="1"/>
  <c r="P41" i="1"/>
  <c r="Q40" i="1" s="1"/>
  <c r="R40" i="1" s="1"/>
  <c r="P42" i="1"/>
  <c r="P43" i="1"/>
  <c r="P44" i="1"/>
  <c r="P45" i="1"/>
  <c r="P46" i="1"/>
  <c r="P47" i="1"/>
  <c r="Q46" i="1" s="1"/>
  <c r="R46" i="1" s="1"/>
  <c r="P48" i="1"/>
  <c r="P49" i="1"/>
  <c r="P50" i="1"/>
  <c r="P51" i="1"/>
  <c r="Q50" i="1" s="1"/>
  <c r="R50" i="1" s="1"/>
  <c r="P52" i="1"/>
  <c r="P53" i="1"/>
  <c r="Q52" i="1" s="1"/>
  <c r="R52" i="1" s="1"/>
  <c r="P54" i="1"/>
  <c r="P55" i="1"/>
  <c r="P56" i="1"/>
  <c r="P57" i="1"/>
  <c r="P58" i="1"/>
  <c r="P59" i="1"/>
  <c r="P60" i="1"/>
  <c r="P61" i="1"/>
  <c r="Q60" i="1" s="1"/>
  <c r="R60" i="1" s="1"/>
  <c r="P62" i="1"/>
  <c r="P63" i="1"/>
  <c r="Q62" i="1" s="1"/>
  <c r="R62" i="1" s="1"/>
  <c r="P64" i="1"/>
  <c r="P65" i="1"/>
  <c r="P66" i="1"/>
  <c r="P67" i="1"/>
  <c r="Q66" i="1" s="1"/>
  <c r="R66" i="1" s="1"/>
  <c r="P68" i="1"/>
  <c r="P69" i="1"/>
  <c r="P70" i="1"/>
  <c r="P71" i="1"/>
  <c r="Q70" i="1" s="1"/>
  <c r="R70" i="1" s="1"/>
  <c r="P72" i="1"/>
  <c r="P73" i="1"/>
  <c r="Q72" i="1" s="1"/>
  <c r="R72" i="1" s="1"/>
  <c r="P74" i="1"/>
  <c r="P75" i="1"/>
  <c r="P76" i="1"/>
  <c r="P77" i="1"/>
  <c r="Q76" i="1" s="1"/>
  <c r="R76" i="1" s="1"/>
  <c r="P78" i="1"/>
  <c r="Q78" i="1" s="1"/>
  <c r="R78" i="1" s="1"/>
  <c r="P28" i="1"/>
  <c r="Q30" i="1" l="1"/>
  <c r="R30" i="1" s="1"/>
  <c r="Q68" i="1"/>
  <c r="R68" i="1" s="1"/>
  <c r="Q53" i="1"/>
  <c r="R53" i="1" s="1"/>
  <c r="Q43" i="1"/>
  <c r="R43" i="1" s="1"/>
  <c r="Q42" i="1"/>
  <c r="R42" i="1" s="1"/>
  <c r="Q61" i="1"/>
  <c r="R61" i="1" s="1"/>
  <c r="Q29" i="1"/>
  <c r="R29" i="1" s="1"/>
  <c r="S29" i="1" s="1"/>
  <c r="Q69" i="1"/>
  <c r="R69" i="1" s="1"/>
  <c r="Q59" i="1"/>
  <c r="R59" i="1" s="1"/>
  <c r="Q49" i="1"/>
  <c r="R49" i="1" s="1"/>
  <c r="Q39" i="1"/>
  <c r="R39" i="1" s="1"/>
  <c r="Q75" i="1"/>
  <c r="R75" i="1" s="1"/>
  <c r="Q65" i="1"/>
  <c r="R65" i="1" s="1"/>
  <c r="Q45" i="1"/>
  <c r="R45" i="1" s="1"/>
  <c r="Q56" i="1"/>
  <c r="R56" i="1" s="1"/>
  <c r="Q58" i="1"/>
  <c r="R58" i="1" s="1"/>
  <c r="Q48" i="1"/>
  <c r="R48" i="1" s="1"/>
  <c r="Q35" i="1"/>
  <c r="R35" i="1" s="1"/>
  <c r="Q31" i="1"/>
  <c r="R31" i="1" s="1"/>
  <c r="Q55" i="1"/>
  <c r="R55" i="1" s="1"/>
  <c r="Q33" i="1"/>
  <c r="R33" i="1" s="1"/>
  <c r="Q32" i="1"/>
  <c r="R32" i="1" s="1"/>
  <c r="T28" i="1"/>
  <c r="Q71" i="1"/>
  <c r="R71" i="1" s="1"/>
  <c r="Q41" i="1"/>
  <c r="R41" i="1" s="1"/>
  <c r="Q63" i="1"/>
  <c r="R63" i="1" s="1"/>
  <c r="Q51" i="1"/>
  <c r="R51" i="1" s="1"/>
  <c r="Q77" i="1"/>
  <c r="R77" i="1" s="1"/>
  <c r="Q67" i="1"/>
  <c r="R67" i="1" s="1"/>
  <c r="Q57" i="1"/>
  <c r="R57" i="1" s="1"/>
  <c r="Q47" i="1"/>
  <c r="R47" i="1" s="1"/>
  <c r="Q37" i="1"/>
  <c r="R37" i="1" s="1"/>
  <c r="Q36" i="1"/>
  <c r="R36" i="1" s="1"/>
  <c r="Q38" i="1"/>
  <c r="R38" i="1" s="1"/>
  <c r="Q73" i="1"/>
  <c r="R73" i="1" s="1"/>
  <c r="Q74" i="1"/>
  <c r="R74" i="1" s="1"/>
  <c r="Q64" i="1"/>
  <c r="R64" i="1" s="1"/>
  <c r="Q54" i="1"/>
  <c r="R54" i="1" s="1"/>
  <c r="Q44" i="1"/>
  <c r="R44" i="1" s="1"/>
  <c r="Q34" i="1"/>
  <c r="R34" i="1" s="1"/>
  <c r="S30" i="1" l="1"/>
  <c r="T29" i="1"/>
  <c r="T30" i="1" l="1"/>
  <c r="S31" i="1"/>
  <c r="S32" i="1" l="1"/>
  <c r="T31" i="1"/>
  <c r="S33" i="1" l="1"/>
  <c r="T32" i="1"/>
  <c r="S34" i="1" l="1"/>
  <c r="T33" i="1"/>
  <c r="S35" i="1" l="1"/>
  <c r="T34" i="1"/>
  <c r="S36" i="1" l="1"/>
  <c r="T35" i="1"/>
  <c r="S37" i="1" l="1"/>
  <c r="T36" i="1"/>
  <c r="S38" i="1" l="1"/>
  <c r="T37" i="1"/>
  <c r="S39" i="1" l="1"/>
  <c r="T38" i="1"/>
  <c r="S40" i="1" l="1"/>
  <c r="T39" i="1"/>
  <c r="S41" i="1" l="1"/>
  <c r="T40" i="1"/>
  <c r="S42" i="1" l="1"/>
  <c r="T41" i="1"/>
  <c r="S43" i="1" l="1"/>
  <c r="T42" i="1"/>
  <c r="S44" i="1" l="1"/>
  <c r="T43" i="1"/>
  <c r="S45" i="1" l="1"/>
  <c r="T44" i="1"/>
  <c r="S46" i="1" l="1"/>
  <c r="T45" i="1"/>
  <c r="S47" i="1" l="1"/>
  <c r="T46" i="1"/>
  <c r="S48" i="1" l="1"/>
  <c r="T47" i="1"/>
  <c r="S49" i="1" l="1"/>
  <c r="T48" i="1"/>
  <c r="S50" i="1" l="1"/>
  <c r="T49" i="1"/>
  <c r="S51" i="1" l="1"/>
  <c r="T50" i="1"/>
  <c r="S52" i="1" l="1"/>
  <c r="T51" i="1"/>
  <c r="S53" i="1" l="1"/>
  <c r="T52" i="1"/>
  <c r="S54" i="1" l="1"/>
  <c r="T53" i="1"/>
  <c r="S55" i="1" l="1"/>
  <c r="T54" i="1"/>
  <c r="S56" i="1" l="1"/>
  <c r="T55" i="1"/>
  <c r="S57" i="1" l="1"/>
  <c r="T56" i="1"/>
  <c r="S58" i="1" l="1"/>
  <c r="T57" i="1"/>
  <c r="S59" i="1" l="1"/>
  <c r="T58" i="1"/>
  <c r="S60" i="1" l="1"/>
  <c r="T59" i="1"/>
  <c r="S61" i="1" l="1"/>
  <c r="T60" i="1"/>
  <c r="S62" i="1" l="1"/>
  <c r="T61" i="1"/>
  <c r="S63" i="1" l="1"/>
  <c r="T62" i="1"/>
  <c r="S64" i="1" l="1"/>
  <c r="T63" i="1"/>
  <c r="S65" i="1" l="1"/>
  <c r="T64" i="1"/>
  <c r="S66" i="1" l="1"/>
  <c r="T65" i="1"/>
  <c r="S67" i="1" l="1"/>
  <c r="T66" i="1"/>
  <c r="S68" i="1" l="1"/>
  <c r="T67" i="1"/>
  <c r="S69" i="1" l="1"/>
  <c r="T68" i="1"/>
  <c r="S70" i="1" l="1"/>
  <c r="T69" i="1"/>
  <c r="S71" i="1" l="1"/>
  <c r="T70" i="1"/>
  <c r="S72" i="1" l="1"/>
  <c r="T71" i="1"/>
  <c r="S73" i="1" l="1"/>
  <c r="T72" i="1"/>
  <c r="S74" i="1" l="1"/>
  <c r="T73" i="1"/>
  <c r="S75" i="1" l="1"/>
  <c r="T74" i="1"/>
  <c r="S76" i="1" l="1"/>
  <c r="T75" i="1"/>
  <c r="S77" i="1" l="1"/>
  <c r="T76" i="1"/>
  <c r="S78" i="1" l="1"/>
  <c r="T78" i="1" s="1"/>
  <c r="T77" i="1"/>
</calcChain>
</file>

<file path=xl/sharedStrings.xml><?xml version="1.0" encoding="utf-8"?>
<sst xmlns="http://schemas.openxmlformats.org/spreadsheetml/2006/main" count="22" uniqueCount="19">
  <si>
    <t>Hazard ratio</t>
  </si>
  <si>
    <t>Graphic representation</t>
  </si>
  <si>
    <t>Introduction</t>
  </si>
  <si>
    <t>Input</t>
  </si>
  <si>
    <t>Template</t>
  </si>
  <si>
    <t>Age (year)</t>
  </si>
  <si>
    <t>Updated survival table</t>
  </si>
  <si>
    <t>Base survival table</t>
  </si>
  <si>
    <t>Survival, base</t>
  </si>
  <si>
    <t>Hazard, base</t>
  </si>
  <si>
    <t>Footnote:
1) The survival, base column contains age-specific cumulative survival proportions.
2) The hazard ratio represents the ratio of target survival hazard against base survival hazard.
3) Please assume that these two parts of the data are only available. In fact, they are both dummy data for demonstration purposes.</t>
  </si>
  <si>
    <t>Hazard, target</t>
  </si>
  <si>
    <t>Survival, target</t>
  </si>
  <si>
    <t>CumEvent, target</t>
  </si>
  <si>
    <r>
      <t>Footnote:</t>
    </r>
    <r>
      <rPr>
        <b/>
        <sz val="12"/>
        <color theme="1" tint="0.499984740745262"/>
        <rFont val="Aptos Narrow"/>
        <scheme val="minor"/>
      </rPr>
      <t xml:space="preserve">
</t>
    </r>
    <r>
      <rPr>
        <sz val="12"/>
        <color theme="1" tint="0.499984740745262"/>
        <rFont val="Aptos Narrow"/>
        <scheme val="minor"/>
      </rPr>
      <t xml:space="preserve">1) The survival, base and hazard base represent a copy of cumulative survival proportion and calculated hazard for base.
2) The survival target and hazard target represent cumulative survival proportion and calculated hazard for target population.
3) The cumEvent target represents cumulative mortality proportion calculated from inferred survival proportion of target population. </t>
    </r>
    <r>
      <rPr>
        <b/>
        <sz val="12"/>
        <color theme="1" tint="0.499984740745262"/>
        <rFont val="Aptos Narrow"/>
        <scheme val="minor"/>
      </rPr>
      <t xml:space="preserve">
</t>
    </r>
    <r>
      <rPr>
        <sz val="12"/>
        <color theme="1" tint="0.499984740745262"/>
        <rFont val="Aptos Narrow"/>
        <family val="2"/>
        <scheme val="minor"/>
      </rPr>
      <t xml:space="preserve">
</t>
    </r>
  </si>
  <si>
    <t>Output</t>
  </si>
  <si>
    <t>Template for Deriving Survival Curve Based on Base Curve and Hazard Ratio</t>
  </si>
  <si>
    <t>This template is designed to support data analysts, epidemiologists, and modelers in deriving survival distributions based on a base survival curve and a hazard ratio. Such an exercise is particularly useful when evidence is limited, for example in rare disease modeling.
Users can easily update the base survival table and hazard ratio in the input subsection using their own data. The template will then automatically generate the derived survival distribution and the corresponding cumulative mortality proportions at each age. In addition, the template produces a visual representation of the resulting survival curves, which can serve as a sanity check for the calculations.
The core workflow follows the logic below:
Base survival proportion → hazard → apply hazard ratio to derive target hazard → target survival proportion
The equations underlying this workflow are implemented directly through Excel formulas embedded in the relevant parameter cells. The method assumes that the hazard remains constant within each age interval.</t>
  </si>
  <si>
    <t>The template comprises two components: input and output. In the input section, users can replace the example data in the table and hazard ratio table with their own data. Users can automatically obtain estimated target survival and mortality proportions at each age, in tabular and graphical formats.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</si>
</sst>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scheme val="minor"/>
    </font>
    <font>
      <sz val="18"/>
      <color theme="1"/>
      <name val="Aptos Narrow"/>
      <family val="2"/>
      <scheme val="minor"/>
    </font>
    <font>
      <sz val="12"/>
      <color theme="3" tint="0.249977111117893"/>
      <name val="Aptos Narrow"/>
      <scheme val="minor"/>
    </font>
    <font>
      <b/>
      <sz val="12"/>
      <color theme="0"/>
      <name val="Aptos Narrow"/>
      <scheme val="minor"/>
    </font>
    <font>
      <sz val="12"/>
      <color theme="1" tint="0.499984740745262"/>
      <name val="Aptos Narrow"/>
      <family val="2"/>
      <scheme val="minor"/>
    </font>
    <font>
      <b/>
      <sz val="12"/>
      <color theme="1" tint="0.499984740745262"/>
      <name val="Aptos Narrow"/>
      <scheme val="minor"/>
    </font>
    <font>
      <sz val="12"/>
      <color theme="1" tint="0.499984740745262"/>
      <name val="Aptos Narrow"/>
      <scheme val="minor"/>
    </font>
    <font>
      <b/>
      <sz val="18"/>
      <color theme="7"/>
      <name val="Aptos Narrow"/>
      <scheme val="minor"/>
    </font>
    <font>
      <sz val="20"/>
      <color theme="1"/>
      <name val="Aptos Narrow"/>
      <scheme val="minor"/>
    </font>
    <font>
      <b/>
      <sz val="20"/>
      <color theme="7"/>
      <name val="Aptos Narrow"/>
      <scheme val="minor"/>
    </font>
    <font>
      <b/>
      <sz val="35"/>
      <color theme="7" tint="-0.499984740745262"/>
      <name val="Aptos Narrow"/>
      <scheme val="minor"/>
    </font>
    <font>
      <sz val="15"/>
      <name val="Corbel"/>
    </font>
    <font>
      <sz val="20"/>
      <color theme="1" tint="0.249977111117893"/>
      <name val="Aptos Narrow"/>
      <scheme val="minor"/>
    </font>
    <font>
      <sz val="20"/>
      <color theme="1" tint="0.34998626667073579"/>
      <name val="Aptos Narrow"/>
      <scheme val="minor"/>
    </font>
  </fonts>
  <fills count="6">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79998168889431442"/>
        <bgColor indexed="64"/>
      </patternFill>
    </fill>
  </fills>
  <borders count="11">
    <border>
      <left/>
      <right/>
      <top/>
      <bottom/>
      <diagonal/>
    </border>
    <border>
      <left/>
      <right/>
      <top/>
      <bottom style="medium">
        <color theme="1"/>
      </bottom>
      <diagonal/>
    </border>
    <border>
      <left/>
      <right/>
      <top/>
      <bottom style="thick">
        <color theme="7" tint="0.39997558519241921"/>
      </bottom>
      <diagonal/>
    </border>
    <border>
      <left/>
      <right/>
      <top style="medium">
        <color theme="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style="medium">
        <color theme="7" tint="0.39997558519241921"/>
      </left>
      <right/>
      <top/>
      <bottom/>
      <diagonal/>
    </border>
    <border>
      <left/>
      <right/>
      <top/>
      <bottom style="medium">
        <color theme="7" tint="0.39997558519241921"/>
      </bottom>
      <diagonal/>
    </border>
    <border>
      <left/>
      <right style="medium">
        <color theme="7" tint="0.39997558519241921"/>
      </right>
      <top/>
      <bottom style="medium">
        <color theme="7" tint="0.39997558519241921"/>
      </bottom>
      <diagonal/>
    </border>
    <border>
      <left/>
      <right style="medium">
        <color theme="7" tint="0.39997558519241921"/>
      </right>
      <top/>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3" fillId="0" borderId="0" xfId="0" applyFont="1" applyAlignment="1">
      <alignment horizontal="center" vertical="center" wrapText="1"/>
    </xf>
    <xf numFmtId="0" fontId="0" fillId="0" borderId="0" xfId="0" applyAlignment="1">
      <alignment horizontal="right" vertical="center"/>
    </xf>
    <xf numFmtId="10" fontId="0" fillId="0" borderId="0" xfId="0" applyNumberFormat="1" applyAlignment="1">
      <alignment horizontal="right" vertical="center"/>
    </xf>
    <xf numFmtId="0" fontId="4" fillId="0" borderId="0" xfId="0" applyFont="1" applyAlignment="1">
      <alignment horizontal="left" vertical="center"/>
    </xf>
    <xf numFmtId="0" fontId="4" fillId="2" borderId="0" xfId="0" applyFont="1" applyFill="1" applyAlignment="1">
      <alignment horizontal="left" vertical="center"/>
    </xf>
    <xf numFmtId="10" fontId="4" fillId="2" borderId="0" xfId="0" applyNumberFormat="1" applyFont="1" applyFill="1" applyAlignment="1">
      <alignment horizontal="left" vertical="center"/>
    </xf>
    <xf numFmtId="0" fontId="0" fillId="3" borderId="0" xfId="0" applyFill="1" applyAlignment="1">
      <alignment horizontal="right" vertical="center"/>
    </xf>
    <xf numFmtId="0" fontId="0" fillId="4" borderId="0" xfId="0" applyFill="1" applyAlignment="1">
      <alignment horizontal="right" vertical="center"/>
    </xf>
    <xf numFmtId="10" fontId="0" fillId="4" borderId="0" xfId="0" applyNumberFormat="1" applyFill="1" applyAlignment="1">
      <alignment horizontal="right" vertical="center"/>
    </xf>
    <xf numFmtId="0" fontId="0" fillId="0" borderId="2" xfId="0" applyBorder="1" applyAlignment="1">
      <alignment horizontal="right" vertical="center"/>
    </xf>
    <xf numFmtId="10" fontId="4" fillId="0" borderId="0" xfId="0" applyNumberFormat="1" applyFont="1" applyAlignment="1">
      <alignment horizontal="left" vertical="center"/>
    </xf>
    <xf numFmtId="0" fontId="0" fillId="0" borderId="2" xfId="0" applyBorder="1"/>
    <xf numFmtId="0" fontId="2" fillId="0" borderId="0" xfId="0" applyFont="1" applyAlignment="1">
      <alignment horizontal="center" vertical="center" wrapText="1"/>
    </xf>
    <xf numFmtId="10" fontId="2" fillId="0" borderId="0" xfId="0" applyNumberFormat="1" applyFont="1" applyAlignment="1">
      <alignment horizontal="center" vertical="center" wrapText="1"/>
    </xf>
    <xf numFmtId="164" fontId="5" fillId="0" borderId="0" xfId="0" applyNumberFormat="1" applyFont="1" applyAlignment="1">
      <alignment horizontal="right" vertical="center"/>
    </xf>
    <xf numFmtId="2" fontId="5" fillId="0" borderId="0" xfId="1" applyNumberFormat="1" applyFont="1" applyFill="1" applyBorder="1" applyAlignment="1">
      <alignment horizontal="right" vertical="center"/>
    </xf>
    <xf numFmtId="2" fontId="5" fillId="0" borderId="0" xfId="0" applyNumberFormat="1" applyFont="1" applyAlignment="1">
      <alignment horizontal="right" vertical="center"/>
    </xf>
    <xf numFmtId="164" fontId="5" fillId="0" borderId="0" xfId="1" applyNumberFormat="1" applyFont="1" applyFill="1" applyBorder="1" applyAlignment="1">
      <alignment horizontal="right" vertical="center"/>
    </xf>
    <xf numFmtId="0" fontId="2" fillId="0" borderId="3" xfId="0" applyFont="1" applyBorder="1" applyAlignment="1">
      <alignment horizontal="center" vertical="center"/>
    </xf>
    <xf numFmtId="0" fontId="2" fillId="0" borderId="0" xfId="0" applyFont="1" applyAlignment="1">
      <alignment horizontal="center" vertical="center"/>
    </xf>
    <xf numFmtId="164" fontId="0" fillId="3" borderId="4" xfId="0" applyNumberFormat="1" applyFill="1" applyBorder="1" applyAlignment="1">
      <alignment horizontal="right" vertical="center"/>
    </xf>
    <xf numFmtId="164" fontId="0" fillId="3" borderId="5" xfId="0" applyNumberFormat="1" applyFill="1" applyBorder="1" applyAlignment="1">
      <alignment horizontal="right" vertical="center"/>
    </xf>
    <xf numFmtId="10" fontId="2" fillId="0" borderId="1" xfId="0" applyNumberFormat="1" applyFont="1" applyBorder="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right" vertical="center"/>
    </xf>
    <xf numFmtId="0" fontId="0" fillId="0" borderId="6" xfId="0" applyBorder="1" applyAlignment="1">
      <alignment horizontal="right" vertical="center"/>
    </xf>
    <xf numFmtId="10" fontId="0" fillId="0" borderId="6" xfId="0" applyNumberFormat="1" applyBorder="1" applyAlignment="1">
      <alignment horizontal="right" vertical="center"/>
    </xf>
    <xf numFmtId="0" fontId="10" fillId="0" borderId="0" xfId="0" applyFont="1" applyAlignment="1">
      <alignment horizontal="right" vertical="center"/>
    </xf>
    <xf numFmtId="10" fontId="10" fillId="0" borderId="0" xfId="0" applyNumberFormat="1" applyFont="1" applyAlignment="1">
      <alignment horizontal="right" vertical="center"/>
    </xf>
    <xf numFmtId="0" fontId="10" fillId="0" borderId="2" xfId="0" applyFont="1" applyBorder="1" applyAlignment="1">
      <alignment horizontal="right" vertical="center"/>
    </xf>
    <xf numFmtId="0" fontId="11" fillId="0" borderId="0" xfId="0" applyFont="1" applyAlignment="1">
      <alignment horizontal="right" vertical="center"/>
    </xf>
    <xf numFmtId="10" fontId="12" fillId="0" borderId="2" xfId="0" applyNumberFormat="1" applyFont="1" applyBorder="1" applyAlignment="1">
      <alignment horizontal="right" vertical="center"/>
    </xf>
    <xf numFmtId="0" fontId="12" fillId="0" borderId="2" xfId="0" applyFont="1" applyBorder="1" applyAlignment="1">
      <alignment horizontal="right" vertical="center"/>
    </xf>
    <xf numFmtId="0" fontId="12" fillId="0" borderId="0" xfId="0" applyFont="1" applyAlignment="1">
      <alignment horizontal="right" vertical="center"/>
    </xf>
    <xf numFmtId="10" fontId="12" fillId="0" borderId="0" xfId="0" applyNumberFormat="1" applyFont="1" applyAlignment="1">
      <alignment horizontal="right" vertical="center"/>
    </xf>
    <xf numFmtId="0" fontId="12" fillId="0" borderId="2" xfId="0" applyFont="1" applyBorder="1" applyAlignment="1">
      <alignment horizontal="left" vertical="top"/>
    </xf>
    <xf numFmtId="0" fontId="0" fillId="0" borderId="7" xfId="0" applyBorder="1"/>
    <xf numFmtId="0" fontId="0" fillId="0" borderId="7" xfId="0" applyBorder="1" applyAlignment="1">
      <alignment horizontal="righ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9" xfId="0" applyBorder="1" applyAlignment="1">
      <alignment horizontal="right" vertical="center"/>
    </xf>
    <xf numFmtId="0" fontId="13" fillId="4" borderId="0" xfId="0" applyFont="1" applyFill="1" applyAlignment="1">
      <alignment horizontal="left" vertical="center"/>
    </xf>
    <xf numFmtId="0" fontId="14" fillId="0" borderId="0" xfId="0" applyFont="1" applyAlignment="1">
      <alignment vertical="top" wrapText="1"/>
    </xf>
    <xf numFmtId="10" fontId="12" fillId="0" borderId="2" xfId="0" applyNumberFormat="1" applyFont="1" applyBorder="1" applyAlignment="1">
      <alignment horizontal="left" vertical="center"/>
    </xf>
    <xf numFmtId="0" fontId="9" fillId="0" borderId="0" xfId="0" applyFont="1" applyAlignment="1">
      <alignment horizontal="left" vertical="top" wrapText="1"/>
    </xf>
    <xf numFmtId="0" fontId="7" fillId="0" borderId="0" xfId="0" applyFont="1" applyAlignment="1">
      <alignment horizontal="left" vertical="top" wrapText="1"/>
    </xf>
    <xf numFmtId="0" fontId="15" fillId="5" borderId="0" xfId="0" applyFont="1" applyFill="1" applyAlignment="1">
      <alignment horizontal="left" vertical="center" wrapText="1"/>
    </xf>
    <xf numFmtId="0" fontId="16" fillId="5" borderId="0" xfId="0" applyFont="1" applyFill="1" applyAlignment="1">
      <alignment horizontal="left" vertical="center" wrapText="1"/>
    </xf>
  </cellXfs>
  <cellStyles count="2">
    <cellStyle name="Normal" xfId="0" builtinId="0"/>
    <cellStyle name="Percent" xfId="1" builtinId="5"/>
  </cellStyles>
  <dxfs count="16">
    <dxf>
      <numFmt numFmtId="164" formatCode="0.0%"/>
      <fill>
        <patternFill patternType="solid">
          <fgColor indexed="64"/>
          <bgColor theme="5" tint="0.59999389629810485"/>
        </patternFill>
      </fill>
      <alignment horizontal="right" vertical="center" textRotation="0" wrapText="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i val="0"/>
        <strike val="0"/>
        <condense val="0"/>
        <extend val="0"/>
        <outline val="0"/>
        <shadow val="0"/>
        <u val="none"/>
        <vertAlign val="baseline"/>
        <sz val="12"/>
        <color theme="0"/>
        <name val="Aptos Narrow"/>
        <family val="2"/>
        <scheme val="minor"/>
      </font>
      <fill>
        <patternFill patternType="none">
          <fgColor indexed="64"/>
          <bgColor auto="1"/>
        </patternFill>
      </fill>
      <alignment horizontal="center"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3" tint="0.249977111117893"/>
        <name val="Aptos Narrow"/>
        <scheme val="minor"/>
      </font>
      <numFmt numFmtId="164"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4"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4"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none">
          <fgColor indexed="64"/>
          <bgColor indexed="65"/>
        </patternFill>
      </fill>
      <alignment horizontal="center" vertical="center" textRotation="0" wrapText="1" indent="0" justifyLastLine="0" shrinkToFit="0" readingOrder="0"/>
    </dxf>
    <dxf>
      <fill>
        <patternFill patternType="solid">
          <fgColor indexed="64"/>
          <bgColor theme="5" tint="0.59999389629810485"/>
        </patternFill>
      </fill>
      <alignment horizontal="right" vertical="center" textRotation="0" wrapText="0" indent="0" justifyLastLine="0" shrinkToFit="0" readingOrder="0"/>
    </dxf>
    <dxf>
      <fill>
        <patternFill patternType="solid">
          <fgColor indexed="64"/>
          <bgColor theme="5" tint="0.59999389629810485"/>
        </patternFill>
      </fill>
      <alignment horizontal="right" vertical="center" textRotation="0" wrapText="0" indent="0" justifyLastLine="0" shrinkToFit="0" readingOrder="0"/>
    </dxf>
    <dxf>
      <font>
        <b/>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Target</a:t>
            </a:r>
            <a:r>
              <a:rPr lang="en-US" baseline="0"/>
              <a:t> s</a:t>
            </a:r>
            <a:r>
              <a:rPr lang="en-US"/>
              <a:t>urvival</a:t>
            </a:r>
            <a:r>
              <a:rPr lang="en-US" baseline="0"/>
              <a:t> curve derived from base and hazard ratio</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5792346350858"/>
          <c:y val="0.15987379954609415"/>
          <c:w val="0.86514373983215731"/>
          <c:h val="0.59545052673186338"/>
        </c:manualLayout>
      </c:layout>
      <c:scatterChart>
        <c:scatterStyle val="smoothMarker"/>
        <c:varyColors val="0"/>
        <c:ser>
          <c:idx val="0"/>
          <c:order val="0"/>
          <c:tx>
            <c:v>Base</c:v>
          </c:tx>
          <c:spPr>
            <a:ln w="19050" cap="rnd">
              <a:solidFill>
                <a:schemeClr val="tx1">
                  <a:lumMod val="50000"/>
                  <a:lumOff val="50000"/>
                </a:schemeClr>
              </a:solidFill>
              <a:prstDash val="solid"/>
              <a:round/>
            </a:ln>
            <a:effectLst/>
          </c:spPr>
          <c:marker>
            <c:symbol val="none"/>
          </c:marker>
          <c:xVal>
            <c:numRef>
              <c:f>Template!$C$28:$C$77</c:f>
              <c:numCache>
                <c:formatCode>General</c:formatCode>
                <c:ptCount val="5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numCache>
            </c:numRef>
          </c:xVal>
          <c:yVal>
            <c:numRef>
              <c:f>Template!$D$28:$D$77</c:f>
              <c:numCache>
                <c:formatCode>0.0%</c:formatCode>
                <c:ptCount val="50"/>
                <c:pt idx="0">
                  <c:v>1</c:v>
                </c:pt>
                <c:pt idx="1">
                  <c:v>1</c:v>
                </c:pt>
                <c:pt idx="2">
                  <c:v>1</c:v>
                </c:pt>
                <c:pt idx="3">
                  <c:v>1</c:v>
                </c:pt>
                <c:pt idx="4">
                  <c:v>1</c:v>
                </c:pt>
                <c:pt idx="5">
                  <c:v>1</c:v>
                </c:pt>
                <c:pt idx="6">
                  <c:v>0.99999991086297413</c:v>
                </c:pt>
                <c:pt idx="7">
                  <c:v>0.99999087192862535</c:v>
                </c:pt>
                <c:pt idx="8">
                  <c:v>0.99985354969939122</c:v>
                </c:pt>
                <c:pt idx="9">
                  <c:v>0.99905399568146247</c:v>
                </c:pt>
                <c:pt idx="10">
                  <c:v>0.9963848068564104</c:v>
                </c:pt>
                <c:pt idx="11">
                  <c:v>0.99010745082937668</c:v>
                </c:pt>
                <c:pt idx="12">
                  <c:v>0.97842863531828816</c:v>
                </c:pt>
                <c:pt idx="13">
                  <c:v>0.95999137267720414</c:v>
                </c:pt>
                <c:pt idx="14">
                  <c:v>0.93415957460087595</c:v>
                </c:pt>
                <c:pt idx="15">
                  <c:v>0.90105992042362804</c:v>
                </c:pt>
                <c:pt idx="16">
                  <c:v>0.86145262316426996</c:v>
                </c:pt>
                <c:pt idx="17">
                  <c:v>0.81652488555384994</c:v>
                </c:pt>
                <c:pt idx="18">
                  <c:v>0.76767906619370696</c:v>
                </c:pt>
                <c:pt idx="19">
                  <c:v>0.71635593025195532</c:v>
                </c:pt>
                <c:pt idx="20">
                  <c:v>0.6639077554125925</c:v>
                </c:pt>
                <c:pt idx="21">
                  <c:v>0.6115202574639198</c:v>
                </c:pt>
                <c:pt idx="22">
                  <c:v>0.5601747290897221</c:v>
                </c:pt>
                <c:pt idx="23">
                  <c:v>0.51063959125555491</c:v>
                </c:pt>
                <c:pt idx="24">
                  <c:v>0.46348125948813901</c:v>
                </c:pt>
                <c:pt idx="25">
                  <c:v>0.41908614678391276</c:v>
                </c:pt>
                <c:pt idx="26">
                  <c:v>0.37768779286907717</c:v>
                </c:pt>
                <c:pt idx="27">
                  <c:v>0.3393950545014115</c:v>
                </c:pt>
                <c:pt idx="28">
                  <c:v>0.30421884045806469</c:v>
                </c:pt>
                <c:pt idx="29">
                  <c:v>0.27209601250898352</c:v>
                </c:pt>
                <c:pt idx="30">
                  <c:v>0.24290985511031216</c:v>
                </c:pt>
                <c:pt idx="31">
                  <c:v>0.21650701865080801</c:v>
                </c:pt>
                <c:pt idx="32">
                  <c:v>0.19271113859920264</c:v>
                </c:pt>
                <c:pt idx="33">
                  <c:v>0.17133348868461762</c:v>
                </c:pt>
                <c:pt idx="34">
                  <c:v>0.15218108890863014</c:v>
                </c:pt>
                <c:pt idx="35">
                  <c:v>0.13506269420833972</c:v>
                </c:pt>
                <c:pt idx="36">
                  <c:v>0.11979306165848946</c:v>
                </c:pt>
                <c:pt idx="37">
                  <c:v>0.10619584967492579</c:v>
                </c:pt>
                <c:pt idx="38">
                  <c:v>9.4105452233358089E-2</c:v>
                </c:pt>
                <c:pt idx="39">
                  <c:v>8.336802094002671E-2</c:v>
                </c:pt>
                <c:pt idx="40">
                  <c:v>7.3841881366381035E-2</c:v>
                </c:pt>
                <c:pt idx="41">
                  <c:v>6.5397509047617319E-2</c:v>
                </c:pt>
                <c:pt idx="42">
                  <c:v>5.7917195473413008E-2</c:v>
                </c:pt>
                <c:pt idx="43">
                  <c:v>5.1294505134529711E-2</c:v>
                </c:pt>
                <c:pt idx="44">
                  <c:v>4.543360074242464E-2</c:v>
                </c:pt>
                <c:pt idx="45">
                  <c:v>4.0248494462290951E-2</c:v>
                </c:pt>
                <c:pt idx="46">
                  <c:v>3.5662267703668205E-2</c:v>
                </c:pt>
                <c:pt idx="47">
                  <c:v>3.1606290034248086E-2</c:v>
                </c:pt>
                <c:pt idx="48">
                  <c:v>2.8019458520894602E-2</c:v>
                </c:pt>
                <c:pt idx="49">
                  <c:v>2.4847471732824977E-2</c:v>
                </c:pt>
              </c:numCache>
            </c:numRef>
          </c:yVal>
          <c:smooth val="1"/>
          <c:extLst>
            <c:ext xmlns:c16="http://schemas.microsoft.com/office/drawing/2014/chart" uri="{C3380CC4-5D6E-409C-BE32-E72D297353CC}">
              <c16:uniqueId val="{00000000-7586-454E-AC4B-05DD35F0CC00}"/>
            </c:ext>
          </c:extLst>
        </c:ser>
        <c:ser>
          <c:idx val="1"/>
          <c:order val="1"/>
          <c:tx>
            <c:v>Target</c:v>
          </c:tx>
          <c:spPr>
            <a:ln w="19050" cap="rnd">
              <a:solidFill>
                <a:schemeClr val="accent1">
                  <a:lumMod val="60000"/>
                  <a:lumOff val="40000"/>
                </a:schemeClr>
              </a:solidFill>
              <a:round/>
            </a:ln>
            <a:effectLst/>
          </c:spPr>
          <c:marker>
            <c:symbol val="none"/>
          </c:marker>
          <c:xVal>
            <c:numRef>
              <c:f>Template!$O$28:$O$77</c:f>
              <c:numCache>
                <c:formatCode>General</c:formatCode>
                <c:ptCount val="5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numCache>
            </c:numRef>
          </c:xVal>
          <c:yVal>
            <c:numRef>
              <c:f>Template!$S$28:$S$77</c:f>
              <c:numCache>
                <c:formatCode>0.0%</c:formatCode>
                <c:ptCount val="50"/>
                <c:pt idx="0">
                  <c:v>1</c:v>
                </c:pt>
                <c:pt idx="1">
                  <c:v>1</c:v>
                </c:pt>
                <c:pt idx="2">
                  <c:v>1</c:v>
                </c:pt>
                <c:pt idx="3">
                  <c:v>1</c:v>
                </c:pt>
                <c:pt idx="4">
                  <c:v>1</c:v>
                </c:pt>
                <c:pt idx="5">
                  <c:v>0.99999995543148612</c:v>
                </c:pt>
                <c:pt idx="6">
                  <c:v>0.99999543595389739</c:v>
                </c:pt>
                <c:pt idx="7">
                  <c:v>0.99992677216853798</c:v>
                </c:pt>
                <c:pt idx="8">
                  <c:v>0.99952688592226602</c:v>
                </c:pt>
                <c:pt idx="9">
                  <c:v>0.99819076676575724</c:v>
                </c:pt>
                <c:pt idx="10">
                  <c:v>0.99504143171496962</c:v>
                </c:pt>
                <c:pt idx="11">
                  <c:v>0.98915551624518983</c:v>
                </c:pt>
                <c:pt idx="12">
                  <c:v>0.97979149449115144</c:v>
                </c:pt>
                <c:pt idx="13">
                  <c:v>0.9665193089643247</c:v>
                </c:pt>
                <c:pt idx="14">
                  <c:v>0.94924176078785538</c:v>
                </c:pt>
                <c:pt idx="15">
                  <c:v>0.92814472102375822</c:v>
                </c:pt>
                <c:pt idx="16">
                  <c:v>0.90361766558309942</c:v>
                </c:pt>
                <c:pt idx="17">
                  <c:v>0.87617296591124472</c:v>
                </c:pt>
                <c:pt idx="18">
                  <c:v>0.84637812486615904</c:v>
                </c:pt>
                <c:pt idx="19">
                  <c:v>0.8148053481737787</c:v>
                </c:pt>
                <c:pt idx="20">
                  <c:v>0.7819976070704564</c:v>
                </c:pt>
                <c:pt idx="21">
                  <c:v>0.74844821403335726</c:v>
                </c:pt>
                <c:pt idx="22">
                  <c:v>0.71459050599315621</c:v>
                </c:pt>
                <c:pt idx="23">
                  <c:v>0.6807945795084881</c:v>
                </c:pt>
                <c:pt idx="24">
                  <c:v>0.64736863283905932</c:v>
                </c:pt>
                <c:pt idx="25">
                  <c:v>0.61456309104035634</c:v>
                </c:pt>
                <c:pt idx="26">
                  <c:v>0.5825762220528844</c:v>
                </c:pt>
                <c:pt idx="27">
                  <c:v>0.55156036882472337</c:v>
                </c:pt>
                <c:pt idx="28">
                  <c:v>0.52162823208582532</c:v>
                </c:pt>
                <c:pt idx="29">
                  <c:v>0.49285885921865324</c:v>
                </c:pt>
                <c:pt idx="30">
                  <c:v>0.46530314704588888</c:v>
                </c:pt>
                <c:pt idx="31">
                  <c:v>0.43898876819253896</c:v>
                </c:pt>
                <c:pt idx="32">
                  <c:v>0.41392449635726764</c:v>
                </c:pt>
                <c:pt idx="33">
                  <c:v>0.39010394628692258</c:v>
                </c:pt>
                <c:pt idx="34">
                  <c:v>0.36750876752580985</c:v>
                </c:pt>
                <c:pt idx="35">
                  <c:v>0.34611134286308715</c:v>
                </c:pt>
                <c:pt idx="36">
                  <c:v>0.3258770468672591</c:v>
                </c:pt>
                <c:pt idx="37">
                  <c:v>0.30676611976122475</c:v>
                </c:pt>
                <c:pt idx="38">
                  <c:v>0.28873520904113287</c:v>
                </c:pt>
                <c:pt idx="39">
                  <c:v>0.27173862693106593</c:v>
                </c:pt>
                <c:pt idx="40">
                  <c:v>0.25572936680721148</c:v>
                </c:pt>
                <c:pt idx="41">
                  <c:v>0.24065991663219075</c:v>
                </c:pt>
                <c:pt idx="42">
                  <c:v>0.22648290252142592</c:v>
                </c:pt>
                <c:pt idx="43">
                  <c:v>0.21315159099200889</c:v>
                </c:pt>
                <c:pt idx="44">
                  <c:v>0.20062027430519319</c:v>
                </c:pt>
                <c:pt idx="45">
                  <c:v>0.18884455963481769</c:v>
                </c:pt>
                <c:pt idx="46">
                  <c:v>0.17778157956956087</c:v>
                </c:pt>
                <c:pt idx="47">
                  <c:v>0.16739013866083813</c:v>
                </c:pt>
                <c:pt idx="48">
                  <c:v>0.15763080832383303</c:v>
                </c:pt>
                <c:pt idx="49">
                  <c:v>0.14846598034570369</c:v>
                </c:pt>
              </c:numCache>
            </c:numRef>
          </c:yVal>
          <c:smooth val="1"/>
          <c:extLst>
            <c:ext xmlns:c16="http://schemas.microsoft.com/office/drawing/2014/chart" uri="{C3380CC4-5D6E-409C-BE32-E72D297353CC}">
              <c16:uniqueId val="{00000001-7586-454E-AC4B-05DD35F0CC00}"/>
            </c:ext>
          </c:extLst>
        </c:ser>
        <c:dLbls>
          <c:showLegendKey val="0"/>
          <c:showVal val="0"/>
          <c:showCatName val="0"/>
          <c:showSerName val="0"/>
          <c:showPercent val="0"/>
          <c:showBubbleSize val="0"/>
        </c:dLbls>
        <c:axId val="550745215"/>
        <c:axId val="351161855"/>
      </c:scatterChart>
      <c:valAx>
        <c:axId val="550745215"/>
        <c:scaling>
          <c:orientation val="minMax"/>
          <c:max val="50"/>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Age</a:t>
                </a:r>
                <a:r>
                  <a:rPr lang="en-US" baseline="0"/>
                  <a:t> (year)</a:t>
                </a:r>
                <a:endParaRPr lang="en-US"/>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1161855"/>
        <c:crosses val="autoZero"/>
        <c:crossBetween val="midCat"/>
      </c:valAx>
      <c:valAx>
        <c:axId val="35116185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Cumulative</a:t>
                </a:r>
                <a:r>
                  <a:rPr lang="en-US" baseline="0"/>
                  <a:t> s</a:t>
                </a:r>
                <a:r>
                  <a:rPr lang="en-US"/>
                  <a:t>urvival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5074521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56568</xdr:colOff>
      <xdr:row>26</xdr:row>
      <xdr:rowOff>336846</xdr:rowOff>
    </xdr:from>
    <xdr:to>
      <xdr:col>33</xdr:col>
      <xdr:colOff>278509</xdr:colOff>
      <xdr:row>53</xdr:row>
      <xdr:rowOff>101599</xdr:rowOff>
    </xdr:to>
    <xdr:graphicFrame macro="">
      <xdr:nvGraphicFramePr>
        <xdr:cNvPr id="3" name="Chart 2">
          <a:extLst>
            <a:ext uri="{FF2B5EF4-FFF2-40B4-BE49-F238E27FC236}">
              <a16:creationId xmlns:a16="http://schemas.microsoft.com/office/drawing/2014/main" id="{738A9CDB-47F1-32D6-40EB-763EE437B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0.06349</cdr:x>
      <cdr:y>0.82181</cdr:y>
    </cdr:from>
    <cdr:to>
      <cdr:x>0.9519</cdr:x>
      <cdr:y>0.94262</cdr:y>
    </cdr:to>
    <cdr:sp macro="" textlink="">
      <cdr:nvSpPr>
        <cdr:cNvPr id="2" name="TextBox 1">
          <a:extLst xmlns:a="http://schemas.openxmlformats.org/drawingml/2006/main">
            <a:ext uri="{FF2B5EF4-FFF2-40B4-BE49-F238E27FC236}">
              <a16:creationId xmlns:a16="http://schemas.microsoft.com/office/drawing/2014/main" id="{2A2F276B-D6FB-57BC-23D0-CF7985CACA64}"/>
            </a:ext>
          </a:extLst>
        </cdr:cNvPr>
        <cdr:cNvSpPr txBox="1"/>
      </cdr:nvSpPr>
      <cdr:spPr>
        <a:xfrm xmlns:a="http://schemas.openxmlformats.org/drawingml/2006/main">
          <a:off x="569965" y="4607688"/>
          <a:ext cx="7975600" cy="677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0.07858</cdr:x>
      <cdr:y>0.88303</cdr:y>
    </cdr:from>
    <cdr:to>
      <cdr:x>0.93115</cdr:x>
      <cdr:y>0.96879</cdr:y>
    </cdr:to>
    <cdr:sp macro="" textlink="">
      <cdr:nvSpPr>
        <cdr:cNvPr id="3" name="TextBox 2">
          <a:extLst xmlns:a="http://schemas.openxmlformats.org/drawingml/2006/main">
            <a:ext uri="{FF2B5EF4-FFF2-40B4-BE49-F238E27FC236}">
              <a16:creationId xmlns:a16="http://schemas.microsoft.com/office/drawing/2014/main" id="{5A18A5E4-C685-D5D9-D319-B6A85B941DD9}"/>
            </a:ext>
          </a:extLst>
        </cdr:cNvPr>
        <cdr:cNvSpPr txBox="1"/>
      </cdr:nvSpPr>
      <cdr:spPr>
        <a:xfrm xmlns:a="http://schemas.openxmlformats.org/drawingml/2006/main">
          <a:off x="665234" y="4887977"/>
          <a:ext cx="7217720" cy="4746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i="1" kern="1200">
              <a:solidFill>
                <a:schemeClr val="tx1">
                  <a:lumMod val="50000"/>
                  <a:lumOff val="50000"/>
                </a:schemeClr>
              </a:solidFill>
            </a:rPr>
            <a:t>The target survival curve is derived from the base curve and hazard ratio. </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341F5E-4E05-F048-996B-0F1926864DB8}" name="Table3" displayName="Table3" ref="G27:G28" totalsRowShown="0" headerRowDxfId="15" dataDxfId="14">
  <autoFilter ref="G27:G28" xr:uid="{3A341F5E-4E05-F048-996B-0F1926864DB8}"/>
  <tableColumns count="1">
    <tableColumn id="1" xr3:uid="{2B5CA90E-78A3-D647-B3E0-96A99414C2FE}" name="Hazard ratio" dataDxfId="13"/>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2E43A-16B5-4844-A683-8233B4340B9D}" name="Table1" displayName="Table1" ref="O27:T78" totalsRowShown="0" headerRowDxfId="12" dataDxfId="11" dataCellStyle="Percent">
  <autoFilter ref="O27:T78" xr:uid="{7EB2E43A-16B5-4844-A683-8233B4340B9D}"/>
  <tableColumns count="6">
    <tableColumn id="1" xr3:uid="{24A47CF1-FBEC-8645-A58F-56A0E90B818A}" name="Age (year)" dataDxfId="10"/>
    <tableColumn id="2" xr3:uid="{E29AE380-310C-6C46-B75E-D7BD3E83E1E7}" name="Survival, base" dataDxfId="9">
      <calculatedColumnFormula>D28</calculatedColumnFormula>
    </tableColumn>
    <tableColumn id="3" xr3:uid="{949A1760-5DDB-934C-9176-C40C2C47A156}" name="Hazard, base" dataDxfId="8" dataCellStyle="Percent">
      <calculatedColumnFormula>IFERROR(-LN(P29/P28),"n/a")</calculatedColumnFormula>
    </tableColumn>
    <tableColumn id="4" xr3:uid="{CBEDCA30-B180-6C43-B47E-4FC0153B12C9}" name="Hazard, target" dataDxfId="7">
      <calculatedColumnFormula>IFERROR(Q28*$G$28,"n/a")</calculatedColumnFormula>
    </tableColumn>
    <tableColumn id="5" xr3:uid="{5DBE99A3-4E8F-784B-AB05-FFD71CB9D0E7}" name="Survival, target" dataDxfId="6" dataCellStyle="Percent">
      <calculatedColumnFormula>IFERROR(S27*EXP(-R28),"n/a")</calculatedColumnFormula>
    </tableColumn>
    <tableColumn id="6" xr3:uid="{0DEFF837-9E36-CC46-9843-1B14030B9919}" name="CumEvent, target" dataDxfId="5" dataCellStyle="Percent">
      <calculatedColumnFormula>IFERROR(1-S28, "n/a")</calculatedColumnFormula>
    </tableColumn>
  </tableColumns>
  <tableStyleInfo name="TableStyleMedium19"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A1322-1FFD-5C4E-A3E9-68606B33A535}" name="Table2" displayName="Table2" ref="C27:D78" totalsRowShown="0" headerRowDxfId="4" dataDxfId="3" tableBorderDxfId="2">
  <autoFilter ref="C27:D78" xr:uid="{889A1322-1FFD-5C4E-A3E9-68606B33A535}"/>
  <tableColumns count="2">
    <tableColumn id="1" xr3:uid="{2A993501-0921-3A4F-93A2-743BC170CD7D}" name="Age (year)" dataDxfId="1"/>
    <tableColumn id="2" xr3:uid="{88328291-4A16-9344-8559-DB82D115BB87}" name="Survival, base" dataDxfId="0"/>
  </tableColumns>
  <tableStyleInfo name="TableStyleMedium19"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DAE5-C576-0C46-AA24-CA8BC1EAE5FA}">
  <dimension ref="A1:AU155"/>
  <sheetViews>
    <sheetView showGridLines="0" tabSelected="1" topLeftCell="K23" zoomScale="109" zoomScaleNormal="82" workbookViewId="0">
      <selection activeCell="S29" sqref="S29"/>
    </sheetView>
  </sheetViews>
  <sheetFormatPr baseColWidth="10" defaultColWidth="0" defaultRowHeight="16" zeroHeight="1" x14ac:dyDescent="0.2"/>
  <cols>
    <col min="1" max="2" width="10.83203125" style="2" customWidth="1"/>
    <col min="3" max="3" width="19.83203125" style="2" customWidth="1"/>
    <col min="4" max="5" width="19.83203125" style="3" customWidth="1"/>
    <col min="6" max="7" width="19.83203125" style="2" customWidth="1"/>
    <col min="8" max="14" width="17.83203125" style="2" customWidth="1"/>
    <col min="15" max="15" width="17.33203125" style="2" customWidth="1"/>
    <col min="16" max="20" width="19.83203125" style="2" customWidth="1"/>
    <col min="21" max="44" width="10.83203125" style="2" customWidth="1"/>
    <col min="45" max="46" width="10.83203125" customWidth="1"/>
    <col min="47" max="47" width="10.83203125" style="2" customWidth="1"/>
    <col min="48" max="16384" width="10.83203125" style="2" hidden="1"/>
  </cols>
  <sheetData>
    <row r="1" spans="2:47" s="8" customFormat="1" ht="140" customHeight="1" x14ac:dyDescent="0.2">
      <c r="D1" s="9"/>
      <c r="E1" s="9"/>
      <c r="K1" s="42" t="s">
        <v>16</v>
      </c>
      <c r="AT1"/>
      <c r="AU1"/>
    </row>
    <row r="2" spans="2:47" x14ac:dyDescent="0.2">
      <c r="AH2"/>
      <c r="AI2"/>
      <c r="AJ2"/>
      <c r="AK2"/>
      <c r="AL2"/>
      <c r="AM2"/>
      <c r="AN2"/>
      <c r="AO2"/>
      <c r="AP2"/>
      <c r="AQ2"/>
      <c r="AR2"/>
      <c r="AT2" s="37"/>
    </row>
    <row r="3" spans="2:47" x14ac:dyDescent="0.2">
      <c r="AH3"/>
      <c r="AI3"/>
      <c r="AJ3"/>
      <c r="AK3"/>
      <c r="AL3"/>
      <c r="AM3"/>
      <c r="AN3"/>
      <c r="AO3"/>
      <c r="AP3"/>
      <c r="AQ3"/>
      <c r="AR3"/>
      <c r="AT3" s="37"/>
    </row>
    <row r="4" spans="2:47" ht="24" x14ac:dyDescent="0.2">
      <c r="C4" s="28"/>
      <c r="D4" s="29"/>
      <c r="E4" s="29"/>
      <c r="F4" s="28"/>
      <c r="G4" s="28"/>
      <c r="H4" s="28"/>
      <c r="I4" s="28"/>
      <c r="J4" s="28"/>
      <c r="K4" s="28"/>
      <c r="L4" s="28"/>
      <c r="M4" s="28"/>
      <c r="N4" s="28"/>
      <c r="O4" s="28"/>
      <c r="P4" s="28"/>
      <c r="Q4" s="28"/>
      <c r="R4" s="28"/>
      <c r="S4" s="28"/>
      <c r="T4" s="28"/>
      <c r="U4" s="28"/>
      <c r="V4" s="28"/>
      <c r="AH4"/>
      <c r="AI4"/>
      <c r="AJ4"/>
      <c r="AK4"/>
      <c r="AL4"/>
      <c r="AM4"/>
      <c r="AN4"/>
      <c r="AO4"/>
      <c r="AP4"/>
      <c r="AQ4"/>
      <c r="AR4"/>
      <c r="AT4" s="37"/>
    </row>
    <row r="5" spans="2:47" ht="28" thickBot="1" x14ac:dyDescent="0.25">
      <c r="B5" s="44" t="s">
        <v>2</v>
      </c>
      <c r="C5" s="32"/>
      <c r="D5" s="32"/>
      <c r="E5" s="32"/>
      <c r="F5" s="33"/>
      <c r="G5" s="33"/>
      <c r="H5" s="33"/>
      <c r="I5" s="33"/>
      <c r="J5" s="33"/>
      <c r="K5" s="33"/>
      <c r="L5" s="33"/>
      <c r="M5" s="33"/>
      <c r="N5" s="33"/>
      <c r="O5" s="33"/>
      <c r="P5" s="33"/>
      <c r="Q5" s="33"/>
      <c r="R5" s="33"/>
      <c r="S5" s="30"/>
      <c r="T5" s="30"/>
      <c r="U5" s="30"/>
      <c r="V5" s="30"/>
      <c r="W5" s="10"/>
      <c r="X5" s="10"/>
      <c r="Y5" s="10"/>
      <c r="Z5" s="10"/>
      <c r="AA5" s="10"/>
      <c r="AB5" s="10"/>
      <c r="AC5" s="10"/>
      <c r="AD5" s="10"/>
      <c r="AE5" s="10"/>
      <c r="AF5" s="10"/>
      <c r="AG5" s="10"/>
      <c r="AH5" s="12"/>
      <c r="AI5" s="12"/>
      <c r="AJ5" s="12"/>
      <c r="AK5" s="12"/>
      <c r="AL5"/>
      <c r="AM5"/>
      <c r="AN5"/>
      <c r="AO5"/>
      <c r="AP5"/>
      <c r="AQ5"/>
      <c r="AR5"/>
      <c r="AT5" s="37"/>
    </row>
    <row r="6" spans="2:47" ht="28" thickTop="1" x14ac:dyDescent="0.2">
      <c r="B6" s="31"/>
      <c r="C6" s="34"/>
      <c r="D6" s="35"/>
      <c r="E6" s="35"/>
      <c r="F6" s="34"/>
      <c r="G6" s="34"/>
      <c r="H6" s="34"/>
      <c r="I6" s="34"/>
      <c r="J6" s="34"/>
      <c r="K6" s="34"/>
      <c r="L6" s="34"/>
      <c r="M6" s="34"/>
      <c r="N6" s="34"/>
      <c r="O6" s="34"/>
      <c r="P6" s="34"/>
      <c r="Q6" s="34"/>
      <c r="R6" s="34"/>
      <c r="S6" s="28"/>
      <c r="T6" s="28"/>
      <c r="U6" s="28"/>
      <c r="V6" s="28"/>
      <c r="AH6"/>
      <c r="AI6"/>
      <c r="AJ6"/>
      <c r="AK6"/>
      <c r="AL6"/>
      <c r="AM6"/>
      <c r="AN6"/>
      <c r="AO6"/>
      <c r="AP6"/>
      <c r="AQ6"/>
      <c r="AR6"/>
      <c r="AT6" s="37"/>
    </row>
    <row r="7" spans="2:47" ht="343" customHeight="1" x14ac:dyDescent="0.2">
      <c r="B7" s="31"/>
      <c r="C7" s="47" t="s">
        <v>17</v>
      </c>
      <c r="D7" s="47"/>
      <c r="E7" s="47"/>
      <c r="F7" s="47"/>
      <c r="G7" s="47"/>
      <c r="H7" s="47"/>
      <c r="I7" s="47"/>
      <c r="J7" s="47"/>
      <c r="K7" s="47"/>
      <c r="L7" s="47"/>
      <c r="M7" s="47"/>
      <c r="N7" s="47"/>
      <c r="O7" s="47"/>
      <c r="P7" s="47"/>
      <c r="Q7" s="47"/>
      <c r="R7" s="47"/>
      <c r="S7" s="47"/>
      <c r="T7" s="47"/>
      <c r="U7" s="43"/>
      <c r="V7" s="43"/>
      <c r="W7" s="43"/>
      <c r="X7" s="43"/>
      <c r="Y7" s="43"/>
      <c r="Z7" s="43"/>
      <c r="AA7" s="43"/>
      <c r="AB7" s="43"/>
      <c r="AC7" s="43"/>
      <c r="AD7" s="43"/>
      <c r="AE7" s="43"/>
      <c r="AF7" s="43"/>
      <c r="AH7"/>
      <c r="AI7"/>
      <c r="AJ7"/>
      <c r="AK7"/>
      <c r="AL7"/>
      <c r="AM7"/>
      <c r="AN7"/>
      <c r="AO7"/>
      <c r="AP7"/>
      <c r="AQ7"/>
      <c r="AR7"/>
      <c r="AT7" s="37"/>
    </row>
    <row r="8" spans="2:47" ht="27" x14ac:dyDescent="0.2">
      <c r="B8" s="31"/>
      <c r="C8"/>
      <c r="D8"/>
      <c r="E8"/>
      <c r="F8"/>
      <c r="G8"/>
      <c r="H8"/>
      <c r="I8"/>
      <c r="J8"/>
      <c r="K8"/>
      <c r="L8"/>
      <c r="M8"/>
      <c r="N8"/>
      <c r="O8"/>
      <c r="P8"/>
      <c r="Q8"/>
      <c r="R8"/>
      <c r="S8"/>
      <c r="T8"/>
      <c r="U8" s="28"/>
      <c r="V8" s="28"/>
      <c r="AH8"/>
      <c r="AI8"/>
      <c r="AJ8"/>
      <c r="AK8"/>
      <c r="AL8"/>
      <c r="AM8"/>
      <c r="AN8"/>
      <c r="AO8"/>
      <c r="AP8"/>
      <c r="AQ8"/>
      <c r="AR8"/>
      <c r="AT8" s="37"/>
    </row>
    <row r="9" spans="2:47" ht="27" x14ac:dyDescent="0.2">
      <c r="B9" s="31"/>
      <c r="C9"/>
      <c r="D9"/>
      <c r="E9"/>
      <c r="F9"/>
      <c r="G9"/>
      <c r="H9"/>
      <c r="I9"/>
      <c r="J9"/>
      <c r="K9"/>
      <c r="L9"/>
      <c r="M9"/>
      <c r="N9"/>
      <c r="O9"/>
      <c r="P9"/>
      <c r="Q9"/>
      <c r="R9"/>
      <c r="S9"/>
      <c r="T9"/>
      <c r="U9" s="28"/>
      <c r="V9" s="28"/>
      <c r="AH9"/>
      <c r="AI9"/>
      <c r="AJ9"/>
      <c r="AK9"/>
      <c r="AL9"/>
      <c r="AM9"/>
      <c r="AN9"/>
      <c r="AO9"/>
      <c r="AP9"/>
      <c r="AQ9"/>
      <c r="AR9"/>
      <c r="AT9" s="37"/>
    </row>
    <row r="10" spans="2:47" ht="27" x14ac:dyDescent="0.2">
      <c r="B10" s="31"/>
      <c r="C10" s="34"/>
      <c r="D10" s="35"/>
      <c r="E10" s="35"/>
      <c r="F10" s="34"/>
      <c r="G10" s="34"/>
      <c r="H10" s="34"/>
      <c r="I10" s="34"/>
      <c r="J10" s="34"/>
      <c r="K10" s="34"/>
      <c r="L10" s="34"/>
      <c r="M10" s="34"/>
      <c r="N10" s="34"/>
      <c r="O10" s="34"/>
      <c r="P10" s="34"/>
      <c r="Q10" s="34"/>
      <c r="R10" s="34"/>
      <c r="S10" s="28"/>
      <c r="T10" s="28"/>
      <c r="U10" s="28"/>
      <c r="V10" s="28"/>
      <c r="AH10"/>
      <c r="AI10"/>
      <c r="AJ10"/>
      <c r="AK10"/>
      <c r="AL10"/>
      <c r="AM10"/>
      <c r="AN10"/>
      <c r="AO10"/>
      <c r="AP10"/>
      <c r="AQ10"/>
      <c r="AR10"/>
      <c r="AT10" s="37"/>
    </row>
    <row r="11" spans="2:47" ht="27" x14ac:dyDescent="0.2">
      <c r="B11" s="31"/>
      <c r="C11" s="34"/>
      <c r="D11" s="35"/>
      <c r="E11" s="35"/>
      <c r="F11" s="34"/>
      <c r="G11" s="34"/>
      <c r="H11" s="34"/>
      <c r="I11" s="34"/>
      <c r="J11" s="34"/>
      <c r="K11" s="34"/>
      <c r="L11" s="34"/>
      <c r="M11" s="34"/>
      <c r="N11" s="34"/>
      <c r="O11" s="34"/>
      <c r="P11" s="34"/>
      <c r="Q11" s="34"/>
      <c r="R11" s="34"/>
      <c r="S11" s="28"/>
      <c r="T11" s="28"/>
      <c r="U11" s="28"/>
      <c r="V11" s="28"/>
      <c r="AH11"/>
      <c r="AI11"/>
      <c r="AJ11"/>
      <c r="AK11"/>
      <c r="AL11"/>
      <c r="AM11"/>
      <c r="AN11"/>
      <c r="AO11"/>
      <c r="AP11"/>
      <c r="AQ11"/>
      <c r="AR11"/>
      <c r="AT11" s="37"/>
    </row>
    <row r="12" spans="2:47" ht="27" x14ac:dyDescent="0.2">
      <c r="B12" s="31"/>
      <c r="C12" s="34"/>
      <c r="D12" s="35"/>
      <c r="E12" s="35"/>
      <c r="F12" s="34"/>
      <c r="G12" s="34"/>
      <c r="H12" s="34"/>
      <c r="I12" s="34"/>
      <c r="J12" s="34"/>
      <c r="K12" s="34"/>
      <c r="L12" s="34"/>
      <c r="M12" s="34"/>
      <c r="N12" s="34"/>
      <c r="O12" s="34"/>
      <c r="P12" s="34"/>
      <c r="Q12" s="34"/>
      <c r="R12" s="34"/>
      <c r="S12" s="28"/>
      <c r="T12" s="28"/>
      <c r="U12" s="28"/>
      <c r="V12" s="28"/>
      <c r="AH12"/>
      <c r="AI12"/>
      <c r="AJ12"/>
      <c r="AK12"/>
      <c r="AL12"/>
      <c r="AM12"/>
      <c r="AN12"/>
      <c r="AO12"/>
      <c r="AP12"/>
      <c r="AQ12"/>
      <c r="AR12"/>
      <c r="AT12" s="37"/>
    </row>
    <row r="13" spans="2:47" ht="27" x14ac:dyDescent="0.2">
      <c r="B13" s="31"/>
      <c r="C13" s="34"/>
      <c r="D13" s="35"/>
      <c r="E13" s="35"/>
      <c r="F13" s="34"/>
      <c r="G13" s="34"/>
      <c r="H13" s="34"/>
      <c r="I13" s="34"/>
      <c r="J13" s="34"/>
      <c r="K13" s="34"/>
      <c r="L13" s="34"/>
      <c r="M13" s="34"/>
      <c r="N13" s="34"/>
      <c r="O13" s="34"/>
      <c r="P13" s="34"/>
      <c r="Q13" s="34"/>
      <c r="R13" s="34"/>
      <c r="S13" s="28"/>
      <c r="T13" s="28"/>
      <c r="U13" s="28"/>
      <c r="V13" s="28"/>
      <c r="AH13"/>
      <c r="AI13"/>
      <c r="AJ13"/>
      <c r="AK13"/>
      <c r="AL13"/>
      <c r="AM13"/>
      <c r="AN13"/>
      <c r="AO13"/>
      <c r="AP13"/>
      <c r="AQ13"/>
      <c r="AR13"/>
      <c r="AT13" s="37"/>
    </row>
    <row r="14" spans="2:47" ht="27" x14ac:dyDescent="0.2">
      <c r="B14" s="31"/>
      <c r="C14" s="34"/>
      <c r="D14" s="35"/>
      <c r="E14" s="35"/>
      <c r="F14" s="34"/>
      <c r="G14" s="34"/>
      <c r="H14" s="34"/>
      <c r="I14" s="34"/>
      <c r="J14" s="34"/>
      <c r="K14" s="34"/>
      <c r="L14" s="34"/>
      <c r="M14" s="34"/>
      <c r="N14" s="34"/>
      <c r="O14" s="34"/>
      <c r="P14" s="34"/>
      <c r="Q14" s="34"/>
      <c r="R14" s="34"/>
      <c r="S14" s="28"/>
      <c r="T14" s="28"/>
      <c r="U14" s="28"/>
      <c r="V14" s="28"/>
      <c r="AH14"/>
      <c r="AI14"/>
      <c r="AJ14"/>
      <c r="AK14"/>
      <c r="AL14"/>
      <c r="AM14"/>
      <c r="AN14"/>
      <c r="AO14"/>
      <c r="AP14"/>
      <c r="AQ14"/>
      <c r="AR14"/>
      <c r="AT14" s="37"/>
    </row>
    <row r="15" spans="2:47" ht="27" x14ac:dyDescent="0.2">
      <c r="B15" s="31"/>
      <c r="C15" s="34"/>
      <c r="D15" s="35"/>
      <c r="E15" s="35"/>
      <c r="F15" s="34"/>
      <c r="G15" s="34"/>
      <c r="H15" s="34"/>
      <c r="I15" s="34"/>
      <c r="J15" s="34"/>
      <c r="K15" s="34"/>
      <c r="L15" s="34"/>
      <c r="M15" s="34"/>
      <c r="N15" s="34"/>
      <c r="O15" s="34"/>
      <c r="P15" s="34"/>
      <c r="Q15" s="34"/>
      <c r="R15" s="34"/>
      <c r="S15" s="28"/>
      <c r="T15" s="28"/>
      <c r="U15" s="28"/>
      <c r="V15" s="28"/>
      <c r="AH15"/>
      <c r="AI15"/>
      <c r="AJ15"/>
      <c r="AK15"/>
      <c r="AL15"/>
      <c r="AM15"/>
      <c r="AN15"/>
      <c r="AO15"/>
      <c r="AP15"/>
      <c r="AQ15"/>
      <c r="AR15"/>
      <c r="AT15" s="37"/>
    </row>
    <row r="16" spans="2:47" ht="28" thickBot="1" x14ac:dyDescent="0.25">
      <c r="B16" s="36" t="s">
        <v>4</v>
      </c>
      <c r="C16" s="32"/>
      <c r="D16" s="32"/>
      <c r="E16" s="32"/>
      <c r="F16" s="33"/>
      <c r="G16" s="33"/>
      <c r="H16" s="33"/>
      <c r="I16" s="33"/>
      <c r="J16" s="33"/>
      <c r="K16" s="33"/>
      <c r="L16" s="33"/>
      <c r="M16" s="33"/>
      <c r="N16" s="33"/>
      <c r="O16" s="33"/>
      <c r="P16" s="33"/>
      <c r="Q16" s="33"/>
      <c r="R16" s="33"/>
      <c r="S16" s="30"/>
      <c r="T16" s="30"/>
      <c r="U16" s="30"/>
      <c r="V16" s="30"/>
      <c r="W16" s="10"/>
      <c r="X16" s="10"/>
      <c r="Y16" s="10"/>
      <c r="Z16" s="10"/>
      <c r="AA16" s="10"/>
      <c r="AB16" s="10"/>
      <c r="AC16" s="10"/>
      <c r="AD16" s="10"/>
      <c r="AE16" s="10"/>
      <c r="AF16" s="10"/>
      <c r="AG16" s="10"/>
      <c r="AH16" s="12"/>
      <c r="AI16" s="12"/>
      <c r="AJ16" s="12"/>
      <c r="AK16" s="12"/>
      <c r="AL16"/>
      <c r="AM16"/>
      <c r="AN16"/>
      <c r="AO16"/>
      <c r="AP16"/>
      <c r="AQ16"/>
      <c r="AR16"/>
      <c r="AT16" s="37"/>
    </row>
    <row r="17" spans="2:46" ht="28" thickTop="1" x14ac:dyDescent="0.2">
      <c r="B17" s="31"/>
      <c r="C17" s="34"/>
      <c r="D17" s="35"/>
      <c r="E17" s="35"/>
      <c r="F17" s="34"/>
      <c r="G17" s="34"/>
      <c r="H17" s="34"/>
      <c r="I17" s="34"/>
      <c r="J17" s="34"/>
      <c r="K17" s="34"/>
      <c r="L17" s="34"/>
      <c r="M17" s="34"/>
      <c r="N17" s="34"/>
      <c r="O17" s="34"/>
      <c r="P17" s="34"/>
      <c r="Q17" s="34"/>
      <c r="R17" s="34"/>
      <c r="S17" s="28"/>
      <c r="T17" s="28"/>
      <c r="U17" s="28"/>
      <c r="V17" s="28"/>
      <c r="AH17"/>
      <c r="AI17"/>
      <c r="AJ17"/>
      <c r="AK17"/>
      <c r="AL17"/>
      <c r="AM17"/>
      <c r="AN17"/>
      <c r="AO17"/>
      <c r="AP17"/>
      <c r="AQ17"/>
      <c r="AR17"/>
      <c r="AT17" s="37"/>
    </row>
    <row r="18" spans="2:46" ht="91" customHeight="1" x14ac:dyDescent="0.2">
      <c r="B18" s="31"/>
      <c r="C18" s="48" t="s">
        <v>18</v>
      </c>
      <c r="D18" s="48"/>
      <c r="E18" s="48"/>
      <c r="F18" s="48"/>
      <c r="G18" s="48"/>
      <c r="H18" s="48"/>
      <c r="I18" s="48"/>
      <c r="J18" s="48"/>
      <c r="K18" s="48"/>
      <c r="L18" s="48"/>
      <c r="M18" s="48"/>
      <c r="N18" s="48"/>
      <c r="O18" s="48"/>
      <c r="P18" s="48"/>
      <c r="Q18" s="48"/>
      <c r="R18" s="48"/>
      <c r="S18" s="48"/>
      <c r="T18" s="48"/>
      <c r="U18" s="28"/>
      <c r="V18" s="28"/>
      <c r="AH18"/>
      <c r="AI18"/>
      <c r="AJ18"/>
      <c r="AK18"/>
      <c r="AL18"/>
      <c r="AM18"/>
      <c r="AN18"/>
      <c r="AO18"/>
      <c r="AP18"/>
      <c r="AQ18"/>
      <c r="AR18"/>
      <c r="AT18" s="37"/>
    </row>
    <row r="19" spans="2:46" ht="27" x14ac:dyDescent="0.2">
      <c r="B19" s="31"/>
      <c r="C19" s="34"/>
      <c r="D19" s="35"/>
      <c r="E19" s="35"/>
      <c r="F19" s="34"/>
      <c r="G19" s="34"/>
      <c r="H19" s="34"/>
      <c r="I19" s="34"/>
      <c r="J19" s="34"/>
      <c r="K19" s="34"/>
      <c r="L19" s="34"/>
      <c r="M19" s="34"/>
      <c r="N19" s="34"/>
      <c r="O19" s="34"/>
      <c r="P19" s="34"/>
      <c r="Q19" s="34"/>
      <c r="R19" s="34"/>
      <c r="S19" s="28"/>
      <c r="T19" s="28"/>
      <c r="U19" s="28"/>
      <c r="V19" s="28"/>
      <c r="AH19"/>
      <c r="AI19"/>
      <c r="AJ19"/>
      <c r="AK19"/>
      <c r="AL19"/>
      <c r="AM19"/>
      <c r="AN19"/>
      <c r="AO19"/>
      <c r="AP19"/>
      <c r="AQ19"/>
      <c r="AR19"/>
      <c r="AT19" s="37"/>
    </row>
    <row r="20" spans="2:46" ht="27" x14ac:dyDescent="0.2">
      <c r="B20" s="31"/>
      <c r="C20" s="34"/>
      <c r="D20" s="35"/>
      <c r="E20" s="35"/>
      <c r="F20" s="34"/>
      <c r="G20" s="34"/>
      <c r="H20" s="34"/>
      <c r="I20" s="34"/>
      <c r="J20" s="34"/>
      <c r="K20" s="34"/>
      <c r="L20" s="34"/>
      <c r="M20" s="34"/>
      <c r="N20" s="34"/>
      <c r="O20" s="34"/>
      <c r="P20" s="34"/>
      <c r="Q20" s="34"/>
      <c r="R20" s="34"/>
      <c r="S20" s="28"/>
      <c r="T20" s="28"/>
      <c r="U20" s="28"/>
      <c r="V20" s="28"/>
      <c r="AH20"/>
      <c r="AI20"/>
      <c r="AJ20"/>
      <c r="AK20"/>
      <c r="AL20"/>
      <c r="AM20"/>
      <c r="AN20"/>
      <c r="AO20"/>
      <c r="AP20"/>
      <c r="AQ20"/>
      <c r="AR20"/>
      <c r="AT20" s="37"/>
    </row>
    <row r="21" spans="2:46" ht="28" thickBot="1" x14ac:dyDescent="0.25">
      <c r="B21" s="31"/>
      <c r="C21" s="36" t="s">
        <v>3</v>
      </c>
      <c r="D21" s="32"/>
      <c r="E21" s="32"/>
      <c r="F21" s="33"/>
      <c r="G21" s="33"/>
      <c r="H21" s="33"/>
      <c r="I21" s="33"/>
      <c r="J21" s="33"/>
      <c r="K21" s="34"/>
      <c r="L21" s="34"/>
      <c r="M21" s="34"/>
      <c r="N21" s="34"/>
      <c r="O21" s="36" t="s">
        <v>15</v>
      </c>
      <c r="P21" s="33"/>
      <c r="Q21" s="33"/>
      <c r="R21" s="33"/>
      <c r="S21" s="30"/>
      <c r="T21" s="30"/>
      <c r="U21" s="30"/>
      <c r="V21" s="30"/>
      <c r="W21" s="10"/>
      <c r="X21" s="10"/>
      <c r="Y21" s="10"/>
      <c r="Z21" s="10"/>
      <c r="AA21" s="10"/>
      <c r="AB21" s="10"/>
      <c r="AC21" s="10"/>
      <c r="AD21" s="10"/>
      <c r="AE21" s="10"/>
      <c r="AF21" s="10"/>
      <c r="AG21" s="10"/>
      <c r="AH21" s="10"/>
      <c r="AI21" s="10"/>
      <c r="AJ21"/>
      <c r="AK21"/>
      <c r="AL21"/>
      <c r="AM21"/>
      <c r="AN21"/>
      <c r="AO21"/>
      <c r="AP21"/>
      <c r="AQ21"/>
      <c r="AR21"/>
      <c r="AT21" s="37"/>
    </row>
    <row r="22" spans="2:46" ht="17" thickTop="1" x14ac:dyDescent="0.2">
      <c r="AJ22"/>
      <c r="AK22"/>
      <c r="AL22"/>
      <c r="AM22"/>
      <c r="AN22"/>
      <c r="AO22"/>
      <c r="AP22"/>
      <c r="AQ22"/>
      <c r="AR22"/>
      <c r="AT22" s="37"/>
    </row>
    <row r="23" spans="2:46" x14ac:dyDescent="0.2">
      <c r="AJ23"/>
      <c r="AK23"/>
      <c r="AL23"/>
      <c r="AM23"/>
      <c r="AN23"/>
      <c r="AO23"/>
      <c r="AP23"/>
      <c r="AQ23"/>
      <c r="AR23"/>
      <c r="AT23" s="37"/>
    </row>
    <row r="24" spans="2:46" x14ac:dyDescent="0.2">
      <c r="AJ24"/>
      <c r="AK24"/>
      <c r="AL24"/>
      <c r="AM24"/>
      <c r="AN24"/>
      <c r="AO24"/>
      <c r="AP24"/>
      <c r="AQ24"/>
      <c r="AR24"/>
      <c r="AT24" s="37"/>
    </row>
    <row r="25" spans="2:46" s="4" customFormat="1" ht="24" x14ac:dyDescent="0.2">
      <c r="C25" s="5" t="s">
        <v>7</v>
      </c>
      <c r="D25" s="6"/>
      <c r="E25" s="11"/>
      <c r="G25" s="5" t="s">
        <v>0</v>
      </c>
      <c r="O25" s="5" t="s">
        <v>6</v>
      </c>
      <c r="P25" s="5"/>
      <c r="Q25" s="5"/>
      <c r="R25" s="5"/>
      <c r="X25" s="5" t="s">
        <v>1</v>
      </c>
      <c r="Y25" s="5"/>
      <c r="Z25" s="5"/>
      <c r="AA25" s="5"/>
      <c r="AB25" s="5"/>
      <c r="AC25" s="5"/>
      <c r="AD25" s="5"/>
      <c r="AE25" s="5"/>
      <c r="AF25" s="5"/>
      <c r="AG25" s="5"/>
      <c r="AH25" s="5"/>
      <c r="AJ25"/>
      <c r="AK25"/>
      <c r="AL25"/>
      <c r="AM25"/>
      <c r="AN25"/>
      <c r="AO25"/>
      <c r="AP25"/>
      <c r="AQ25"/>
      <c r="AR25"/>
      <c r="AS25"/>
      <c r="AT25" s="37"/>
    </row>
    <row r="26" spans="2:46" x14ac:dyDescent="0.2">
      <c r="AJ26"/>
      <c r="AK26"/>
      <c r="AL26"/>
      <c r="AM26"/>
      <c r="AN26"/>
      <c r="AO26"/>
      <c r="AP26"/>
      <c r="AQ26"/>
      <c r="AR26"/>
      <c r="AT26" s="37"/>
    </row>
    <row r="27" spans="2:46" s="1" customFormat="1" ht="44" customHeight="1" thickBot="1" x14ac:dyDescent="0.25">
      <c r="C27" s="13" t="s">
        <v>5</v>
      </c>
      <c r="D27" s="23" t="s">
        <v>8</v>
      </c>
      <c r="E27"/>
      <c r="G27" s="1" t="s">
        <v>0</v>
      </c>
      <c r="O27" s="13" t="s">
        <v>5</v>
      </c>
      <c r="P27" s="14" t="s">
        <v>8</v>
      </c>
      <c r="Q27" s="13" t="s">
        <v>9</v>
      </c>
      <c r="R27" s="13" t="s">
        <v>11</v>
      </c>
      <c r="S27" s="13" t="s">
        <v>12</v>
      </c>
      <c r="T27" s="13" t="s">
        <v>13</v>
      </c>
      <c r="AJ27"/>
      <c r="AK27"/>
      <c r="AL27"/>
      <c r="AM27"/>
      <c r="AN27"/>
      <c r="AO27"/>
      <c r="AP27"/>
      <c r="AQ27"/>
      <c r="AR27"/>
      <c r="AS27"/>
      <c r="AT27" s="37"/>
    </row>
    <row r="28" spans="2:46" x14ac:dyDescent="0.2">
      <c r="C28" s="19">
        <v>0</v>
      </c>
      <c r="D28" s="22">
        <v>1</v>
      </c>
      <c r="E28"/>
      <c r="G28" s="7">
        <v>0.5</v>
      </c>
      <c r="O28" s="24">
        <v>0</v>
      </c>
      <c r="P28" s="15">
        <f>D28</f>
        <v>1</v>
      </c>
      <c r="Q28" s="16">
        <f>IFERROR(-LN(P29/P28),"n/a")</f>
        <v>0</v>
      </c>
      <c r="R28" s="17">
        <f>IFERROR(Q28*$G$28,"n/a")</f>
        <v>0</v>
      </c>
      <c r="S28" s="18">
        <f>Template!$P28</f>
        <v>1</v>
      </c>
      <c r="T28" s="18">
        <f>IFERROR(1-S28, "n/a")</f>
        <v>0</v>
      </c>
      <c r="AJ28"/>
      <c r="AK28"/>
      <c r="AL28"/>
      <c r="AM28"/>
      <c r="AN28"/>
      <c r="AO28"/>
      <c r="AP28"/>
      <c r="AQ28"/>
      <c r="AR28"/>
      <c r="AT28" s="37"/>
    </row>
    <row r="29" spans="2:46" x14ac:dyDescent="0.2">
      <c r="C29" s="20">
        <v>1</v>
      </c>
      <c r="D29" s="21">
        <v>1</v>
      </c>
      <c r="E29"/>
      <c r="O29" s="24">
        <v>1</v>
      </c>
      <c r="P29" s="15">
        <f t="shared" ref="P29:P78" si="0">D29</f>
        <v>1</v>
      </c>
      <c r="Q29" s="16">
        <f t="shared" ref="Q29:Q78" si="1">IFERROR(-LN(P30/P29),"n/a")</f>
        <v>0</v>
      </c>
      <c r="R29" s="17">
        <f t="shared" ref="R29:R78" si="2">IFERROR(Q29*$G$28,"n/a")</f>
        <v>0</v>
      </c>
      <c r="S29" s="18">
        <f>IFERROR(S28*EXP(-R29),"n/a")</f>
        <v>1</v>
      </c>
      <c r="T29" s="18">
        <f t="shared" ref="T29:T78" si="3">IFERROR(1-S29, "n/a")</f>
        <v>0</v>
      </c>
      <c r="AJ29"/>
      <c r="AK29"/>
      <c r="AL29"/>
      <c r="AM29"/>
      <c r="AN29"/>
      <c r="AO29"/>
      <c r="AP29"/>
      <c r="AQ29"/>
      <c r="AR29"/>
      <c r="AT29" s="37"/>
    </row>
    <row r="30" spans="2:46" x14ac:dyDescent="0.2">
      <c r="C30" s="20">
        <v>2</v>
      </c>
      <c r="D30" s="21">
        <v>1</v>
      </c>
      <c r="E30"/>
      <c r="O30" s="24">
        <v>2</v>
      </c>
      <c r="P30" s="15">
        <f t="shared" si="0"/>
        <v>1</v>
      </c>
      <c r="Q30" s="16">
        <f t="shared" si="1"/>
        <v>0</v>
      </c>
      <c r="R30" s="17">
        <f t="shared" si="2"/>
        <v>0</v>
      </c>
      <c r="S30" s="18">
        <f t="shared" ref="S30:S78" si="4">IFERROR(S29*EXP(-R30),"n/a")</f>
        <v>1</v>
      </c>
      <c r="T30" s="18">
        <f t="shared" si="3"/>
        <v>0</v>
      </c>
      <c r="AJ30"/>
      <c r="AK30"/>
      <c r="AL30"/>
      <c r="AM30"/>
      <c r="AN30"/>
      <c r="AO30"/>
      <c r="AP30"/>
      <c r="AQ30"/>
      <c r="AR30"/>
      <c r="AT30" s="37"/>
    </row>
    <row r="31" spans="2:46" x14ac:dyDescent="0.2">
      <c r="C31" s="20">
        <v>3</v>
      </c>
      <c r="D31" s="21">
        <v>1</v>
      </c>
      <c r="E31"/>
      <c r="O31" s="24">
        <v>3</v>
      </c>
      <c r="P31" s="15">
        <f t="shared" si="0"/>
        <v>1</v>
      </c>
      <c r="Q31" s="16">
        <f t="shared" si="1"/>
        <v>0</v>
      </c>
      <c r="R31" s="17">
        <f t="shared" si="2"/>
        <v>0</v>
      </c>
      <c r="S31" s="18">
        <f t="shared" si="4"/>
        <v>1</v>
      </c>
      <c r="T31" s="18">
        <f t="shared" si="3"/>
        <v>0</v>
      </c>
      <c r="AJ31"/>
      <c r="AK31"/>
      <c r="AL31"/>
      <c r="AM31"/>
      <c r="AN31"/>
      <c r="AO31"/>
      <c r="AP31"/>
      <c r="AQ31"/>
      <c r="AR31"/>
      <c r="AT31" s="37"/>
    </row>
    <row r="32" spans="2:46" x14ac:dyDescent="0.2">
      <c r="C32" s="20">
        <v>4</v>
      </c>
      <c r="D32" s="21">
        <v>1</v>
      </c>
      <c r="E32"/>
      <c r="O32" s="24">
        <v>4</v>
      </c>
      <c r="P32" s="15">
        <f t="shared" si="0"/>
        <v>1</v>
      </c>
      <c r="Q32" s="16">
        <f t="shared" si="1"/>
        <v>0</v>
      </c>
      <c r="R32" s="17">
        <f t="shared" si="2"/>
        <v>0</v>
      </c>
      <c r="S32" s="18">
        <f t="shared" si="4"/>
        <v>1</v>
      </c>
      <c r="T32" s="18">
        <f t="shared" si="3"/>
        <v>0</v>
      </c>
      <c r="AJ32"/>
      <c r="AK32"/>
      <c r="AL32"/>
      <c r="AM32"/>
      <c r="AN32"/>
      <c r="AO32"/>
      <c r="AP32"/>
      <c r="AQ32"/>
      <c r="AR32"/>
      <c r="AT32" s="37"/>
    </row>
    <row r="33" spans="3:46" x14ac:dyDescent="0.2">
      <c r="C33" s="20">
        <v>5</v>
      </c>
      <c r="D33" s="21">
        <v>1</v>
      </c>
      <c r="E33"/>
      <c r="O33" s="24">
        <v>5</v>
      </c>
      <c r="P33" s="15">
        <f t="shared" si="0"/>
        <v>1</v>
      </c>
      <c r="Q33" s="16">
        <f t="shared" si="1"/>
        <v>8.913702984424896E-8</v>
      </c>
      <c r="R33" s="17">
        <f t="shared" si="2"/>
        <v>4.456851492212448E-8</v>
      </c>
      <c r="S33" s="18">
        <f t="shared" si="4"/>
        <v>0.99999995543148612</v>
      </c>
      <c r="T33" s="18">
        <f t="shared" si="3"/>
        <v>4.4568513879461591E-8</v>
      </c>
      <c r="AJ33"/>
      <c r="AK33"/>
      <c r="AL33"/>
      <c r="AM33"/>
      <c r="AN33"/>
      <c r="AO33"/>
      <c r="AP33"/>
      <c r="AQ33"/>
      <c r="AR33"/>
      <c r="AT33" s="37"/>
    </row>
    <row r="34" spans="3:46" x14ac:dyDescent="0.2">
      <c r="C34" s="20">
        <v>6</v>
      </c>
      <c r="D34" s="21">
        <v>0.99999991086297413</v>
      </c>
      <c r="E34"/>
      <c r="O34" s="24">
        <v>6</v>
      </c>
      <c r="P34" s="15">
        <f t="shared" si="0"/>
        <v>0.99999991086297413</v>
      </c>
      <c r="Q34" s="16">
        <f t="shared" si="1"/>
        <v>9.038976005891162E-6</v>
      </c>
      <c r="R34" s="17">
        <f t="shared" si="2"/>
        <v>4.519488002945581E-6</v>
      </c>
      <c r="S34" s="18">
        <f t="shared" si="4"/>
        <v>0.99999543595389739</v>
      </c>
      <c r="T34" s="18">
        <f t="shared" si="3"/>
        <v>4.5640461026064116E-6</v>
      </c>
      <c r="AJ34"/>
      <c r="AK34"/>
      <c r="AL34"/>
      <c r="AM34"/>
      <c r="AN34"/>
      <c r="AO34"/>
      <c r="AP34"/>
      <c r="AQ34"/>
      <c r="AR34"/>
      <c r="AT34" s="37"/>
    </row>
    <row r="35" spans="3:46" x14ac:dyDescent="0.2">
      <c r="C35" s="20">
        <v>7</v>
      </c>
      <c r="D35" s="21">
        <v>0.99999087192862535</v>
      </c>
      <c r="E35"/>
      <c r="O35" s="24">
        <v>7</v>
      </c>
      <c r="P35" s="15">
        <f t="shared" si="0"/>
        <v>0.99999087192862535</v>
      </c>
      <c r="Q35" s="16">
        <f t="shared" si="1"/>
        <v>1.3733291246540143E-4</v>
      </c>
      <c r="R35" s="17">
        <f t="shared" si="2"/>
        <v>6.8666456232700717E-5</v>
      </c>
      <c r="S35" s="18">
        <f t="shared" si="4"/>
        <v>0.99992677216853798</v>
      </c>
      <c r="T35" s="18">
        <f t="shared" si="3"/>
        <v>7.3227831462019388E-5</v>
      </c>
      <c r="AJ35"/>
      <c r="AK35"/>
      <c r="AL35"/>
      <c r="AM35"/>
      <c r="AN35"/>
      <c r="AO35"/>
      <c r="AP35"/>
      <c r="AQ35"/>
      <c r="AR35"/>
      <c r="AT35" s="37"/>
    </row>
    <row r="36" spans="3:46" x14ac:dyDescent="0.2">
      <c r="C36" s="20">
        <v>8</v>
      </c>
      <c r="D36" s="21">
        <v>0.99985354969939122</v>
      </c>
      <c r="E36"/>
      <c r="O36" s="24">
        <v>8</v>
      </c>
      <c r="P36" s="15">
        <f t="shared" si="0"/>
        <v>0.99985354969939122</v>
      </c>
      <c r="Q36" s="16">
        <f t="shared" si="1"/>
        <v>7.9999103752277493E-4</v>
      </c>
      <c r="R36" s="17">
        <f t="shared" si="2"/>
        <v>3.9999551876138747E-4</v>
      </c>
      <c r="S36" s="18">
        <f t="shared" si="4"/>
        <v>0.99952688592226602</v>
      </c>
      <c r="T36" s="18">
        <f t="shared" si="3"/>
        <v>4.7311407773398262E-4</v>
      </c>
      <c r="AJ36"/>
      <c r="AK36"/>
      <c r="AL36"/>
      <c r="AM36"/>
      <c r="AN36"/>
      <c r="AO36"/>
      <c r="AP36"/>
      <c r="AQ36"/>
      <c r="AR36"/>
      <c r="AT36" s="37"/>
    </row>
    <row r="37" spans="3:46" x14ac:dyDescent="0.2">
      <c r="C37" s="20">
        <v>9</v>
      </c>
      <c r="D37" s="21">
        <v>0.99905399568146247</v>
      </c>
      <c r="E37"/>
      <c r="O37" s="24">
        <v>9</v>
      </c>
      <c r="P37" s="15">
        <f t="shared" si="0"/>
        <v>0.99905399568146247</v>
      </c>
      <c r="Q37" s="16">
        <f t="shared" si="1"/>
        <v>2.6752916838612929E-3</v>
      </c>
      <c r="R37" s="17">
        <f t="shared" si="2"/>
        <v>1.3376458419306464E-3</v>
      </c>
      <c r="S37" s="18">
        <f t="shared" si="4"/>
        <v>0.99819076676575724</v>
      </c>
      <c r="T37" s="18">
        <f t="shared" si="3"/>
        <v>1.8092332342427575E-3</v>
      </c>
      <c r="AJ37"/>
      <c r="AK37"/>
      <c r="AL37"/>
      <c r="AM37"/>
      <c r="AN37"/>
      <c r="AO37"/>
      <c r="AP37"/>
      <c r="AQ37"/>
      <c r="AR37"/>
      <c r="AT37" s="37"/>
    </row>
    <row r="38" spans="3:46" x14ac:dyDescent="0.2">
      <c r="C38" s="20">
        <v>10</v>
      </c>
      <c r="D38" s="21">
        <v>0.9963848068564104</v>
      </c>
      <c r="E38"/>
      <c r="O38" s="24">
        <v>10</v>
      </c>
      <c r="P38" s="15">
        <f t="shared" si="0"/>
        <v>0.9963848068564104</v>
      </c>
      <c r="Q38" s="16">
        <f t="shared" si="1"/>
        <v>6.3200618049529022E-3</v>
      </c>
      <c r="R38" s="17">
        <f t="shared" si="2"/>
        <v>3.1600309024764511E-3</v>
      </c>
      <c r="S38" s="18">
        <f t="shared" si="4"/>
        <v>0.99504143171496962</v>
      </c>
      <c r="T38" s="18">
        <f t="shared" si="3"/>
        <v>4.9585682850303847E-3</v>
      </c>
      <c r="AJ38"/>
      <c r="AK38"/>
      <c r="AL38"/>
      <c r="AM38"/>
      <c r="AN38"/>
      <c r="AO38"/>
      <c r="AP38"/>
      <c r="AQ38"/>
      <c r="AR38"/>
      <c r="AT38" s="37"/>
    </row>
    <row r="39" spans="3:46" x14ac:dyDescent="0.2">
      <c r="C39" s="20">
        <v>11</v>
      </c>
      <c r="D39" s="21">
        <v>0.99010745082937668</v>
      </c>
      <c r="E39"/>
      <c r="O39" s="24">
        <v>11</v>
      </c>
      <c r="P39" s="15">
        <f t="shared" si="0"/>
        <v>0.99010745082937668</v>
      </c>
      <c r="Q39" s="16">
        <f t="shared" si="1"/>
        <v>1.1865621989414932E-2</v>
      </c>
      <c r="R39" s="17">
        <f t="shared" si="2"/>
        <v>5.9328109947074659E-3</v>
      </c>
      <c r="S39" s="18">
        <f t="shared" si="4"/>
        <v>0.98915551624518983</v>
      </c>
      <c r="T39" s="18">
        <f t="shared" si="3"/>
        <v>1.0844483754810175E-2</v>
      </c>
      <c r="AJ39"/>
      <c r="AK39"/>
      <c r="AL39"/>
      <c r="AM39"/>
      <c r="AN39"/>
      <c r="AO39"/>
      <c r="AP39"/>
      <c r="AQ39"/>
      <c r="AR39"/>
      <c r="AT39" s="37"/>
    </row>
    <row r="40" spans="3:46" x14ac:dyDescent="0.2">
      <c r="C40" s="20">
        <v>12</v>
      </c>
      <c r="D40" s="21">
        <v>0.97842863531828816</v>
      </c>
      <c r="E40"/>
      <c r="O40" s="24">
        <v>12</v>
      </c>
      <c r="P40" s="15">
        <f t="shared" si="0"/>
        <v>0.97842863531828816</v>
      </c>
      <c r="Q40" s="16">
        <f t="shared" si="1"/>
        <v>1.902355381396259E-2</v>
      </c>
      <c r="R40" s="17">
        <f t="shared" si="2"/>
        <v>9.5117769069812952E-3</v>
      </c>
      <c r="S40" s="18">
        <f t="shared" si="4"/>
        <v>0.97979149449115144</v>
      </c>
      <c r="T40" s="18">
        <f t="shared" si="3"/>
        <v>2.0208505508848562E-2</v>
      </c>
      <c r="AJ40"/>
      <c r="AK40"/>
      <c r="AL40"/>
      <c r="AM40"/>
      <c r="AN40"/>
      <c r="AO40"/>
      <c r="AP40"/>
      <c r="AQ40"/>
      <c r="AR40"/>
      <c r="AT40" s="37"/>
    </row>
    <row r="41" spans="3:46" x14ac:dyDescent="0.2">
      <c r="C41" s="20">
        <v>13</v>
      </c>
      <c r="D41" s="21">
        <v>0.95999137267720414</v>
      </c>
      <c r="E41"/>
      <c r="O41" s="24">
        <v>13</v>
      </c>
      <c r="P41" s="15">
        <f t="shared" si="0"/>
        <v>0.95999137267720414</v>
      </c>
      <c r="Q41" s="16">
        <f t="shared" si="1"/>
        <v>2.7277023241003562E-2</v>
      </c>
      <c r="R41" s="17">
        <f t="shared" si="2"/>
        <v>1.3638511620501781E-2</v>
      </c>
      <c r="S41" s="18">
        <f t="shared" si="4"/>
        <v>0.9665193089643247</v>
      </c>
      <c r="T41" s="18">
        <f t="shared" si="3"/>
        <v>3.3480691035675303E-2</v>
      </c>
      <c r="AJ41"/>
      <c r="AK41"/>
      <c r="AL41"/>
      <c r="AM41"/>
      <c r="AN41"/>
      <c r="AO41"/>
      <c r="AP41"/>
      <c r="AQ41"/>
      <c r="AR41"/>
      <c r="AT41" s="37"/>
    </row>
    <row r="42" spans="3:46" x14ac:dyDescent="0.2">
      <c r="C42" s="20">
        <v>14</v>
      </c>
      <c r="D42" s="21">
        <v>0.93415957460087595</v>
      </c>
      <c r="E42"/>
      <c r="O42" s="24">
        <v>14</v>
      </c>
      <c r="P42" s="15">
        <f t="shared" si="0"/>
        <v>0.93415957460087595</v>
      </c>
      <c r="Q42" s="16">
        <f t="shared" si="1"/>
        <v>3.6075514634148341E-2</v>
      </c>
      <c r="R42" s="17">
        <f t="shared" si="2"/>
        <v>1.803775731707417E-2</v>
      </c>
      <c r="S42" s="18">
        <f t="shared" si="4"/>
        <v>0.94924176078785538</v>
      </c>
      <c r="T42" s="18">
        <f t="shared" si="3"/>
        <v>5.0758239212144618E-2</v>
      </c>
      <c r="AJ42"/>
      <c r="AK42"/>
      <c r="AL42"/>
      <c r="AM42"/>
      <c r="AN42"/>
      <c r="AO42"/>
      <c r="AP42"/>
      <c r="AQ42"/>
      <c r="AR42"/>
      <c r="AT42" s="37"/>
    </row>
    <row r="43" spans="3:46" x14ac:dyDescent="0.2">
      <c r="C43" s="20">
        <v>15</v>
      </c>
      <c r="D43" s="21">
        <v>0.90105992042362804</v>
      </c>
      <c r="E43"/>
      <c r="O43" s="24">
        <v>15</v>
      </c>
      <c r="P43" s="15">
        <f t="shared" si="0"/>
        <v>0.90105992042362804</v>
      </c>
      <c r="Q43" s="16">
        <f t="shared" si="1"/>
        <v>4.4951698721086432E-2</v>
      </c>
      <c r="R43" s="17">
        <f t="shared" si="2"/>
        <v>2.2475849360543216E-2</v>
      </c>
      <c r="S43" s="18">
        <f t="shared" si="4"/>
        <v>0.92814472102375822</v>
      </c>
      <c r="T43" s="18">
        <f t="shared" si="3"/>
        <v>7.1855278976241777E-2</v>
      </c>
      <c r="AJ43"/>
      <c r="AK43"/>
      <c r="AL43"/>
      <c r="AM43"/>
      <c r="AN43"/>
      <c r="AO43"/>
      <c r="AP43"/>
      <c r="AQ43"/>
      <c r="AR43"/>
      <c r="AT43" s="37"/>
    </row>
    <row r="44" spans="3:46" x14ac:dyDescent="0.2">
      <c r="C44" s="20">
        <v>16</v>
      </c>
      <c r="D44" s="21">
        <v>0.86145262316426996</v>
      </c>
      <c r="E44"/>
      <c r="O44" s="24">
        <v>16</v>
      </c>
      <c r="P44" s="15">
        <f t="shared" si="0"/>
        <v>0.86145262316426996</v>
      </c>
      <c r="Q44" s="16">
        <f t="shared" si="1"/>
        <v>5.3562670757796235E-2</v>
      </c>
      <c r="R44" s="17">
        <f t="shared" si="2"/>
        <v>2.6781335378898118E-2</v>
      </c>
      <c r="S44" s="18">
        <f t="shared" si="4"/>
        <v>0.90361766558309942</v>
      </c>
      <c r="T44" s="18">
        <f t="shared" si="3"/>
        <v>9.6382334416900584E-2</v>
      </c>
      <c r="AJ44"/>
      <c r="AK44"/>
      <c r="AL44"/>
      <c r="AM44"/>
      <c r="AN44"/>
      <c r="AO44"/>
      <c r="AP44"/>
      <c r="AQ44"/>
      <c r="AR44"/>
      <c r="AT44" s="37"/>
    </row>
    <row r="45" spans="3:46" x14ac:dyDescent="0.2">
      <c r="C45" s="20">
        <v>17</v>
      </c>
      <c r="D45" s="21">
        <v>0.81652488555384994</v>
      </c>
      <c r="E45"/>
      <c r="O45" s="24">
        <v>17</v>
      </c>
      <c r="P45" s="15">
        <f t="shared" si="0"/>
        <v>0.81652488555384994</v>
      </c>
      <c r="Q45" s="16">
        <f t="shared" si="1"/>
        <v>6.1685627022741121E-2</v>
      </c>
      <c r="R45" s="17">
        <f t="shared" si="2"/>
        <v>3.0842813511370561E-2</v>
      </c>
      <c r="S45" s="18">
        <f t="shared" si="4"/>
        <v>0.87617296591124472</v>
      </c>
      <c r="T45" s="18">
        <f t="shared" si="3"/>
        <v>0.12382703408875528</v>
      </c>
      <c r="AJ45"/>
      <c r="AK45"/>
      <c r="AL45"/>
      <c r="AM45"/>
      <c r="AN45"/>
      <c r="AO45"/>
      <c r="AP45"/>
      <c r="AQ45"/>
      <c r="AR45"/>
      <c r="AT45" s="37"/>
    </row>
    <row r="46" spans="3:46" x14ac:dyDescent="0.2">
      <c r="C46" s="20">
        <v>18</v>
      </c>
      <c r="D46" s="21">
        <v>0.76767906619370696</v>
      </c>
      <c r="E46"/>
      <c r="O46" s="24">
        <v>18</v>
      </c>
      <c r="P46" s="15">
        <f t="shared" si="0"/>
        <v>0.76767906619370696</v>
      </c>
      <c r="Q46" s="16">
        <f t="shared" si="1"/>
        <v>6.9194610516950139E-2</v>
      </c>
      <c r="R46" s="17">
        <f t="shared" si="2"/>
        <v>3.459730525847507E-2</v>
      </c>
      <c r="S46" s="18">
        <f t="shared" si="4"/>
        <v>0.84637812486615904</v>
      </c>
      <c r="T46" s="18">
        <f t="shared" si="3"/>
        <v>0.15362187513384096</v>
      </c>
      <c r="AJ46"/>
      <c r="AK46"/>
      <c r="AL46"/>
      <c r="AM46"/>
      <c r="AN46"/>
      <c r="AO46"/>
      <c r="AP46"/>
      <c r="AQ46"/>
      <c r="AR46"/>
      <c r="AT46" s="37"/>
    </row>
    <row r="47" spans="3:46" x14ac:dyDescent="0.2">
      <c r="C47" s="20">
        <v>19</v>
      </c>
      <c r="D47" s="21">
        <v>0.71635593025195532</v>
      </c>
      <c r="E47"/>
      <c r="O47" s="24">
        <v>19</v>
      </c>
      <c r="P47" s="15">
        <f t="shared" si="0"/>
        <v>0.71635593025195532</v>
      </c>
      <c r="Q47" s="16">
        <f t="shared" si="1"/>
        <v>7.6033935478792808E-2</v>
      </c>
      <c r="R47" s="17">
        <f t="shared" si="2"/>
        <v>3.8016967739396404E-2</v>
      </c>
      <c r="S47" s="18">
        <f t="shared" si="4"/>
        <v>0.8148053481737787</v>
      </c>
      <c r="T47" s="18">
        <f t="shared" si="3"/>
        <v>0.1851946518262213</v>
      </c>
      <c r="AJ47"/>
      <c r="AK47"/>
      <c r="AL47"/>
      <c r="AM47"/>
      <c r="AN47"/>
      <c r="AO47"/>
      <c r="AP47"/>
      <c r="AQ47"/>
      <c r="AR47"/>
      <c r="AT47" s="37"/>
    </row>
    <row r="48" spans="3:46" x14ac:dyDescent="0.2">
      <c r="C48" s="20">
        <v>20</v>
      </c>
      <c r="D48" s="21">
        <v>0.6639077554125925</v>
      </c>
      <c r="E48"/>
      <c r="O48" s="24">
        <v>20</v>
      </c>
      <c r="P48" s="15">
        <f t="shared" si="0"/>
        <v>0.6639077554125925</v>
      </c>
      <c r="Q48" s="16">
        <f t="shared" si="1"/>
        <v>8.2195135179689766E-2</v>
      </c>
      <c r="R48" s="17">
        <f t="shared" si="2"/>
        <v>4.1097567589844883E-2</v>
      </c>
      <c r="S48" s="18">
        <f t="shared" si="4"/>
        <v>0.7819976070704564</v>
      </c>
      <c r="T48" s="18">
        <f t="shared" si="3"/>
        <v>0.2180023929295436</v>
      </c>
      <c r="AJ48"/>
      <c r="AK48"/>
      <c r="AL48"/>
      <c r="AM48"/>
      <c r="AN48"/>
      <c r="AO48"/>
      <c r="AP48"/>
      <c r="AQ48"/>
      <c r="AR48"/>
      <c r="AT48" s="37"/>
    </row>
    <row r="49" spans="3:46" x14ac:dyDescent="0.2">
      <c r="C49" s="20">
        <v>21</v>
      </c>
      <c r="D49" s="21">
        <v>0.6115202574639198</v>
      </c>
      <c r="E49"/>
      <c r="O49" s="24">
        <v>21</v>
      </c>
      <c r="P49" s="15">
        <f t="shared" si="0"/>
        <v>0.6115202574639198</v>
      </c>
      <c r="Q49" s="16">
        <f t="shared" si="1"/>
        <v>8.769933078081292E-2</v>
      </c>
      <c r="R49" s="17">
        <f t="shared" si="2"/>
        <v>4.384966539040646E-2</v>
      </c>
      <c r="S49" s="18">
        <f t="shared" si="4"/>
        <v>0.74844821403335726</v>
      </c>
      <c r="T49" s="18">
        <f t="shared" si="3"/>
        <v>0.25155178596664274</v>
      </c>
      <c r="AJ49"/>
      <c r="AK49"/>
      <c r="AL49"/>
      <c r="AM49"/>
      <c r="AN49"/>
      <c r="AO49"/>
      <c r="AP49"/>
      <c r="AQ49"/>
      <c r="AR49"/>
      <c r="AT49" s="37"/>
    </row>
    <row r="50" spans="3:46" x14ac:dyDescent="0.2">
      <c r="C50" s="20">
        <v>22</v>
      </c>
      <c r="D50" s="21">
        <v>0.5601747290897221</v>
      </c>
      <c r="E50"/>
      <c r="O50" s="24">
        <v>22</v>
      </c>
      <c r="P50" s="15">
        <f t="shared" si="0"/>
        <v>0.5601747290897221</v>
      </c>
      <c r="Q50" s="16">
        <f t="shared" si="1"/>
        <v>9.2584710801622019E-2</v>
      </c>
      <c r="R50" s="17">
        <f t="shared" si="2"/>
        <v>4.629235540081101E-2</v>
      </c>
      <c r="S50" s="18">
        <f t="shared" si="4"/>
        <v>0.71459050599315621</v>
      </c>
      <c r="T50" s="18">
        <f t="shared" si="3"/>
        <v>0.28540949400684379</v>
      </c>
      <c r="AJ50"/>
      <c r="AK50"/>
      <c r="AL50"/>
      <c r="AM50"/>
      <c r="AN50"/>
      <c r="AO50"/>
      <c r="AP50"/>
      <c r="AQ50"/>
      <c r="AR50"/>
      <c r="AT50" s="37"/>
    </row>
    <row r="51" spans="3:46" x14ac:dyDescent="0.2">
      <c r="C51" s="20">
        <v>23</v>
      </c>
      <c r="D51" s="21">
        <v>0.51063959125555491</v>
      </c>
      <c r="E51"/>
      <c r="O51" s="24">
        <v>23</v>
      </c>
      <c r="P51" s="15">
        <f t="shared" si="0"/>
        <v>0.51063959125555491</v>
      </c>
      <c r="Q51" s="16">
        <f t="shared" si="1"/>
        <v>9.6898088907587263E-2</v>
      </c>
      <c r="R51" s="17">
        <f t="shared" si="2"/>
        <v>4.8449044453793631E-2</v>
      </c>
      <c r="S51" s="18">
        <f t="shared" si="4"/>
        <v>0.6807945795084881</v>
      </c>
      <c r="T51" s="18">
        <f t="shared" si="3"/>
        <v>0.3192054204915119</v>
      </c>
      <c r="AJ51"/>
      <c r="AK51"/>
      <c r="AL51"/>
      <c r="AM51"/>
      <c r="AN51"/>
      <c r="AO51"/>
      <c r="AP51"/>
      <c r="AQ51"/>
      <c r="AR51"/>
      <c r="AT51" s="37"/>
    </row>
    <row r="52" spans="3:46" x14ac:dyDescent="0.2">
      <c r="C52" s="20">
        <v>24</v>
      </c>
      <c r="D52" s="21">
        <v>0.46348125948813901</v>
      </c>
      <c r="E52"/>
      <c r="O52" s="24">
        <v>24</v>
      </c>
      <c r="P52" s="15">
        <f t="shared" si="0"/>
        <v>0.46348125948813901</v>
      </c>
      <c r="Q52" s="16">
        <f t="shared" si="1"/>
        <v>0.1006894518792652</v>
      </c>
      <c r="R52" s="17">
        <f t="shared" si="2"/>
        <v>5.0344725939632601E-2</v>
      </c>
      <c r="S52" s="18">
        <f t="shared" si="4"/>
        <v>0.64736863283905932</v>
      </c>
      <c r="T52" s="18">
        <f t="shared" si="3"/>
        <v>0.35263136716094068</v>
      </c>
      <c r="AJ52"/>
      <c r="AK52"/>
      <c r="AL52"/>
      <c r="AM52"/>
      <c r="AN52"/>
      <c r="AO52"/>
      <c r="AP52"/>
      <c r="AQ52"/>
      <c r="AR52"/>
      <c r="AT52" s="37"/>
    </row>
    <row r="53" spans="3:46" x14ac:dyDescent="0.2">
      <c r="C53" s="20">
        <v>25</v>
      </c>
      <c r="D53" s="21">
        <v>0.41908614678391276</v>
      </c>
      <c r="E53"/>
      <c r="O53" s="24">
        <v>25</v>
      </c>
      <c r="P53" s="15">
        <f t="shared" si="0"/>
        <v>0.41908614678391276</v>
      </c>
      <c r="Q53" s="16">
        <f t="shared" si="1"/>
        <v>0.10400859015696973</v>
      </c>
      <c r="R53" s="17">
        <f t="shared" si="2"/>
        <v>5.2004295078484863E-2</v>
      </c>
      <c r="S53" s="18">
        <f t="shared" si="4"/>
        <v>0.61456309104035634</v>
      </c>
      <c r="T53" s="18">
        <f t="shared" si="3"/>
        <v>0.38543690895964366</v>
      </c>
      <c r="AJ53"/>
      <c r="AK53"/>
      <c r="AL53"/>
      <c r="AM53"/>
      <c r="AN53"/>
      <c r="AO53"/>
      <c r="AP53"/>
      <c r="AQ53"/>
      <c r="AR53"/>
      <c r="AT53" s="37"/>
    </row>
    <row r="54" spans="3:46" x14ac:dyDescent="0.2">
      <c r="C54" s="20">
        <v>26</v>
      </c>
      <c r="D54" s="21">
        <v>0.37768779286907717</v>
      </c>
      <c r="E54"/>
      <c r="O54" s="24">
        <v>26</v>
      </c>
      <c r="P54" s="15">
        <f t="shared" si="0"/>
        <v>0.37768779286907717</v>
      </c>
      <c r="Q54" s="16">
        <f t="shared" si="1"/>
        <v>0.10690312815263153</v>
      </c>
      <c r="R54" s="17">
        <f t="shared" si="2"/>
        <v>5.3451564076315766E-2</v>
      </c>
      <c r="S54" s="18">
        <f t="shared" si="4"/>
        <v>0.5825762220528844</v>
      </c>
      <c r="T54" s="18">
        <f t="shared" si="3"/>
        <v>0.4174237779471156</v>
      </c>
      <c r="AJ54"/>
      <c r="AK54"/>
      <c r="AL54"/>
      <c r="AM54"/>
      <c r="AN54"/>
      <c r="AO54"/>
      <c r="AP54"/>
      <c r="AQ54"/>
      <c r="AR54"/>
      <c r="AT54" s="37"/>
    </row>
    <row r="55" spans="3:46" x14ac:dyDescent="0.2">
      <c r="C55" s="20">
        <v>27</v>
      </c>
      <c r="D55" s="21">
        <v>0.3393950545014115</v>
      </c>
      <c r="E55"/>
      <c r="O55" s="24">
        <v>27</v>
      </c>
      <c r="P55" s="15">
        <f t="shared" si="0"/>
        <v>0.3393950545014115</v>
      </c>
      <c r="Q55" s="16">
        <f t="shared" si="1"/>
        <v>0.10941746904383318</v>
      </c>
      <c r="R55" s="17">
        <f t="shared" si="2"/>
        <v>5.4708734521916588E-2</v>
      </c>
      <c r="S55" s="18">
        <f t="shared" si="4"/>
        <v>0.55156036882472337</v>
      </c>
      <c r="T55" s="18">
        <f t="shared" si="3"/>
        <v>0.44843963117527663</v>
      </c>
      <c r="AJ55"/>
      <c r="AK55"/>
      <c r="AL55"/>
      <c r="AM55"/>
      <c r="AN55"/>
      <c r="AO55"/>
      <c r="AP55"/>
      <c r="AQ55"/>
      <c r="AR55"/>
      <c r="AT55" s="37"/>
    </row>
    <row r="56" spans="3:46" x14ac:dyDescent="0.2">
      <c r="C56" s="20">
        <v>28</v>
      </c>
      <c r="D56" s="21">
        <v>0.30421884045806469</v>
      </c>
      <c r="E56"/>
      <c r="O56" s="24">
        <v>28</v>
      </c>
      <c r="P56" s="15">
        <f t="shared" si="0"/>
        <v>0.30421884045806469</v>
      </c>
      <c r="Q56" s="16">
        <f t="shared" si="1"/>
        <v>0.11159232117592577</v>
      </c>
      <c r="R56" s="17">
        <f t="shared" si="2"/>
        <v>5.5796160587962884E-2</v>
      </c>
      <c r="S56" s="18">
        <f t="shared" si="4"/>
        <v>0.52162823208582532</v>
      </c>
      <c r="T56" s="18">
        <f t="shared" si="3"/>
        <v>0.47837176791417468</v>
      </c>
      <c r="AJ56"/>
      <c r="AK56"/>
      <c r="AL56"/>
      <c r="AM56"/>
      <c r="AN56"/>
      <c r="AO56"/>
      <c r="AP56"/>
      <c r="AQ56"/>
      <c r="AR56"/>
      <c r="AT56" s="37"/>
    </row>
    <row r="57" spans="3:46" x14ac:dyDescent="0.2">
      <c r="C57" s="20">
        <v>29</v>
      </c>
      <c r="D57" s="21">
        <v>0.27209601250898352</v>
      </c>
      <c r="E57"/>
      <c r="O57" s="24">
        <v>29</v>
      </c>
      <c r="P57" s="15">
        <f t="shared" si="0"/>
        <v>0.27209601250898352</v>
      </c>
      <c r="Q57" s="16">
        <f t="shared" si="1"/>
        <v>0.1134645832848865</v>
      </c>
      <c r="R57" s="17">
        <f t="shared" si="2"/>
        <v>5.6732291642443249E-2</v>
      </c>
      <c r="S57" s="18">
        <f t="shared" si="4"/>
        <v>0.49285885921865324</v>
      </c>
      <c r="T57" s="18">
        <f t="shared" si="3"/>
        <v>0.50714114078134676</v>
      </c>
      <c r="AJ57"/>
      <c r="AK57"/>
      <c r="AL57"/>
      <c r="AM57"/>
      <c r="AN57"/>
      <c r="AO57"/>
      <c r="AP57"/>
      <c r="AQ57"/>
      <c r="AR57"/>
      <c r="AT57" s="37"/>
    </row>
    <row r="58" spans="3:46" x14ac:dyDescent="0.2">
      <c r="C58" s="20">
        <v>30</v>
      </c>
      <c r="D58" s="21">
        <v>0.24290985511031216</v>
      </c>
      <c r="E58"/>
      <c r="O58" s="24">
        <v>30</v>
      </c>
      <c r="P58" s="15">
        <f t="shared" si="0"/>
        <v>0.24290985511031216</v>
      </c>
      <c r="Q58" s="16">
        <f t="shared" si="1"/>
        <v>0.11506744226367967</v>
      </c>
      <c r="R58" s="17">
        <f t="shared" si="2"/>
        <v>5.7533721131839834E-2</v>
      </c>
      <c r="S58" s="18">
        <f t="shared" si="4"/>
        <v>0.46530314704588888</v>
      </c>
      <c r="T58" s="18">
        <f t="shared" si="3"/>
        <v>0.53469685295411118</v>
      </c>
      <c r="AJ58"/>
      <c r="AK58"/>
      <c r="AL58"/>
      <c r="AM58"/>
      <c r="AN58"/>
      <c r="AO58"/>
      <c r="AP58"/>
      <c r="AQ58"/>
      <c r="AR58"/>
      <c r="AT58" s="37"/>
    </row>
    <row r="59" spans="3:46" x14ac:dyDescent="0.2">
      <c r="C59" s="20">
        <v>31</v>
      </c>
      <c r="D59" s="21">
        <v>0.21650701865080801</v>
      </c>
      <c r="E59"/>
      <c r="O59" s="24">
        <v>31</v>
      </c>
      <c r="P59" s="15">
        <f t="shared" si="0"/>
        <v>0.21650701865080801</v>
      </c>
      <c r="Q59" s="16">
        <f t="shared" si="1"/>
        <v>0.11643058907955031</v>
      </c>
      <c r="R59" s="17">
        <f t="shared" si="2"/>
        <v>5.8215294539775156E-2</v>
      </c>
      <c r="S59" s="18">
        <f t="shared" si="4"/>
        <v>0.43898876819253896</v>
      </c>
      <c r="T59" s="18">
        <f t="shared" si="3"/>
        <v>0.56101123180746104</v>
      </c>
      <c r="AJ59"/>
      <c r="AK59"/>
      <c r="AL59"/>
      <c r="AM59"/>
      <c r="AN59"/>
      <c r="AO59"/>
      <c r="AP59"/>
      <c r="AQ59"/>
      <c r="AR59"/>
      <c r="AT59" s="37"/>
    </row>
    <row r="60" spans="3:46" x14ac:dyDescent="0.2">
      <c r="C60" s="20">
        <v>32</v>
      </c>
      <c r="D60" s="21">
        <v>0.19271113859920264</v>
      </c>
      <c r="E60"/>
      <c r="O60" s="24">
        <v>32</v>
      </c>
      <c r="P60" s="15">
        <f t="shared" si="0"/>
        <v>0.19271113859920264</v>
      </c>
      <c r="Q60" s="16">
        <f t="shared" si="1"/>
        <v>0.11758049304174645</v>
      </c>
      <c r="R60" s="17">
        <f t="shared" si="2"/>
        <v>5.8790246520873224E-2</v>
      </c>
      <c r="S60" s="18">
        <f t="shared" si="4"/>
        <v>0.41392449635726764</v>
      </c>
      <c r="T60" s="18">
        <f t="shared" si="3"/>
        <v>0.58607550364273231</v>
      </c>
      <c r="AJ60"/>
      <c r="AK60"/>
      <c r="AL60"/>
      <c r="AM60"/>
      <c r="AN60"/>
      <c r="AO60"/>
      <c r="AP60"/>
      <c r="AQ60"/>
      <c r="AR60"/>
      <c r="AT60" s="37"/>
    </row>
    <row r="61" spans="3:46" x14ac:dyDescent="0.2">
      <c r="C61" s="20">
        <v>33</v>
      </c>
      <c r="D61" s="21">
        <v>0.17133348868461762</v>
      </c>
      <c r="E61"/>
      <c r="O61" s="24">
        <v>33</v>
      </c>
      <c r="P61" s="15">
        <f t="shared" si="0"/>
        <v>0.17133348868461762</v>
      </c>
      <c r="Q61" s="16">
        <f t="shared" si="1"/>
        <v>0.11854069738435768</v>
      </c>
      <c r="R61" s="17">
        <f t="shared" si="2"/>
        <v>5.9270348692178842E-2</v>
      </c>
      <c r="S61" s="18">
        <f t="shared" si="4"/>
        <v>0.39010394628692258</v>
      </c>
      <c r="T61" s="18">
        <f t="shared" si="3"/>
        <v>0.60989605371307742</v>
      </c>
      <c r="AJ61"/>
      <c r="AK61"/>
      <c r="AL61"/>
      <c r="AM61"/>
      <c r="AN61"/>
      <c r="AO61"/>
      <c r="AP61"/>
      <c r="AQ61"/>
      <c r="AR61"/>
      <c r="AT61" s="37"/>
    </row>
    <row r="62" spans="3:46" x14ac:dyDescent="0.2">
      <c r="C62" s="20">
        <v>34</v>
      </c>
      <c r="D62" s="21">
        <v>0.15218108890863014</v>
      </c>
      <c r="E62"/>
      <c r="O62" s="24">
        <v>34</v>
      </c>
      <c r="P62" s="15">
        <f t="shared" si="0"/>
        <v>0.15218108890863014</v>
      </c>
      <c r="Q62" s="16">
        <f t="shared" si="1"/>
        <v>0.11933211394118085</v>
      </c>
      <c r="R62" s="17">
        <f t="shared" si="2"/>
        <v>5.9666056970590423E-2</v>
      </c>
      <c r="S62" s="18">
        <f t="shared" si="4"/>
        <v>0.36750876752580985</v>
      </c>
      <c r="T62" s="18">
        <f t="shared" si="3"/>
        <v>0.63249123247419015</v>
      </c>
      <c r="AJ62"/>
      <c r="AK62"/>
      <c r="AL62"/>
      <c r="AM62"/>
      <c r="AN62"/>
      <c r="AO62"/>
      <c r="AP62"/>
      <c r="AQ62"/>
      <c r="AR62"/>
      <c r="AT62" s="37"/>
    </row>
    <row r="63" spans="3:46" x14ac:dyDescent="0.2">
      <c r="C63" s="20">
        <v>35</v>
      </c>
      <c r="D63" s="21">
        <v>0.13506269420833972</v>
      </c>
      <c r="E63"/>
      <c r="O63" s="24">
        <v>35</v>
      </c>
      <c r="P63" s="15">
        <f t="shared" si="0"/>
        <v>0.13506269420833972</v>
      </c>
      <c r="Q63" s="16">
        <f t="shared" si="1"/>
        <v>0.11997330421583355</v>
      </c>
      <c r="R63" s="17">
        <f t="shared" si="2"/>
        <v>5.9986652107916774E-2</v>
      </c>
      <c r="S63" s="18">
        <f t="shared" si="4"/>
        <v>0.34611134286308715</v>
      </c>
      <c r="T63" s="18">
        <f t="shared" si="3"/>
        <v>0.65388865713691291</v>
      </c>
      <c r="AJ63"/>
      <c r="AK63"/>
      <c r="AL63"/>
      <c r="AM63"/>
      <c r="AN63"/>
      <c r="AO63"/>
      <c r="AP63"/>
      <c r="AQ63"/>
      <c r="AR63"/>
      <c r="AT63" s="37"/>
    </row>
    <row r="64" spans="3:46" x14ac:dyDescent="0.2">
      <c r="C64" s="20">
        <v>36</v>
      </c>
      <c r="D64" s="21">
        <v>0.11979306165848946</v>
      </c>
      <c r="E64"/>
      <c r="O64" s="24">
        <v>36</v>
      </c>
      <c r="P64" s="15">
        <f t="shared" si="0"/>
        <v>0.11979306165848946</v>
      </c>
      <c r="Q64" s="16">
        <f t="shared" si="1"/>
        <v>0.12048074019441422</v>
      </c>
      <c r="R64" s="17">
        <f t="shared" si="2"/>
        <v>6.0240370097207112E-2</v>
      </c>
      <c r="S64" s="18">
        <f t="shared" si="4"/>
        <v>0.3258770468672591</v>
      </c>
      <c r="T64" s="18">
        <f t="shared" si="3"/>
        <v>0.67412295313274084</v>
      </c>
      <c r="AJ64"/>
      <c r="AK64"/>
      <c r="AL64"/>
      <c r="AM64"/>
      <c r="AN64"/>
      <c r="AO64"/>
      <c r="AP64"/>
      <c r="AQ64"/>
      <c r="AR64"/>
      <c r="AT64" s="37"/>
    </row>
    <row r="65" spans="3:46" x14ac:dyDescent="0.2">
      <c r="C65" s="20">
        <v>37</v>
      </c>
      <c r="D65" s="21">
        <v>0.10619584967492579</v>
      </c>
      <c r="E65"/>
      <c r="O65" s="24">
        <v>37</v>
      </c>
      <c r="P65" s="15">
        <f t="shared" si="0"/>
        <v>0.10619584967492579</v>
      </c>
      <c r="Q65" s="16">
        <f t="shared" si="1"/>
        <v>0.12086904201425032</v>
      </c>
      <c r="R65" s="17">
        <f t="shared" si="2"/>
        <v>6.043452100712516E-2</v>
      </c>
      <c r="S65" s="18">
        <f t="shared" si="4"/>
        <v>0.30676611976122475</v>
      </c>
      <c r="T65" s="18">
        <f t="shared" si="3"/>
        <v>0.69323388023877519</v>
      </c>
      <c r="AJ65"/>
      <c r="AK65"/>
      <c r="AL65"/>
      <c r="AM65"/>
      <c r="AN65"/>
      <c r="AO65"/>
      <c r="AP65"/>
      <c r="AQ65"/>
      <c r="AR65"/>
      <c r="AT65" s="37"/>
    </row>
    <row r="66" spans="3:46" x14ac:dyDescent="0.2">
      <c r="C66" s="20">
        <v>38</v>
      </c>
      <c r="D66" s="21">
        <v>9.4105452233358089E-2</v>
      </c>
      <c r="E66"/>
      <c r="O66" s="24">
        <v>38</v>
      </c>
      <c r="P66" s="15">
        <f t="shared" si="0"/>
        <v>9.4105452233358089E-2</v>
      </c>
      <c r="Q66" s="16">
        <f t="shared" si="1"/>
        <v>0.1211511918902398</v>
      </c>
      <c r="R66" s="17">
        <f t="shared" si="2"/>
        <v>6.0575595945119902E-2</v>
      </c>
      <c r="S66" s="18">
        <f t="shared" si="4"/>
        <v>0.28873520904113287</v>
      </c>
      <c r="T66" s="18">
        <f t="shared" si="3"/>
        <v>0.71126479095886719</v>
      </c>
      <c r="AJ66"/>
      <c r="AK66"/>
      <c r="AL66"/>
      <c r="AM66"/>
      <c r="AN66"/>
      <c r="AO66"/>
      <c r="AP66"/>
      <c r="AQ66"/>
      <c r="AR66"/>
      <c r="AT66" s="37"/>
    </row>
    <row r="67" spans="3:46" x14ac:dyDescent="0.2">
      <c r="C67" s="20">
        <v>39</v>
      </c>
      <c r="D67" s="21">
        <v>8.336802094002671E-2</v>
      </c>
      <c r="E67"/>
      <c r="O67" s="24">
        <v>39</v>
      </c>
      <c r="P67" s="15">
        <f t="shared" si="0"/>
        <v>8.336802094002671E-2</v>
      </c>
      <c r="Q67" s="16">
        <f t="shared" si="1"/>
        <v>0.12133872503625612</v>
      </c>
      <c r="R67" s="17">
        <f t="shared" si="2"/>
        <v>6.0669362518128059E-2</v>
      </c>
      <c r="S67" s="18">
        <f t="shared" si="4"/>
        <v>0.27173862693106593</v>
      </c>
      <c r="T67" s="18">
        <f t="shared" si="3"/>
        <v>0.72826137306893401</v>
      </c>
      <c r="AJ67"/>
      <c r="AK67"/>
      <c r="AL67"/>
      <c r="AM67"/>
      <c r="AN67"/>
      <c r="AO67"/>
      <c r="AP67"/>
      <c r="AQ67"/>
      <c r="AR67"/>
      <c r="AT67" s="37"/>
    </row>
    <row r="68" spans="3:46" x14ac:dyDescent="0.2">
      <c r="C68" s="20">
        <v>40</v>
      </c>
      <c r="D68" s="21">
        <v>7.3841881366381035E-2</v>
      </c>
      <c r="E68"/>
      <c r="O68" s="24">
        <v>40</v>
      </c>
      <c r="P68" s="15">
        <f t="shared" si="0"/>
        <v>7.3841881366381035E-2</v>
      </c>
      <c r="Q68" s="16">
        <f t="shared" si="1"/>
        <v>0.12144189904880337</v>
      </c>
      <c r="R68" s="17">
        <f t="shared" si="2"/>
        <v>6.0720949524401685E-2</v>
      </c>
      <c r="S68" s="18">
        <f t="shared" si="4"/>
        <v>0.25572936680721148</v>
      </c>
      <c r="T68" s="18">
        <f t="shared" si="3"/>
        <v>0.74427063319278852</v>
      </c>
      <c r="AJ68"/>
      <c r="AK68"/>
      <c r="AL68"/>
      <c r="AM68"/>
      <c r="AN68"/>
      <c r="AO68"/>
      <c r="AP68"/>
      <c r="AQ68"/>
      <c r="AR68"/>
      <c r="AT68" s="37"/>
    </row>
    <row r="69" spans="3:46" x14ac:dyDescent="0.2">
      <c r="C69" s="20">
        <v>41</v>
      </c>
      <c r="D69" s="21">
        <v>6.5397509047617319E-2</v>
      </c>
      <c r="E69"/>
      <c r="O69" s="24">
        <v>41</v>
      </c>
      <c r="P69" s="15">
        <f t="shared" si="0"/>
        <v>6.5397509047617319E-2</v>
      </c>
      <c r="Q69" s="16">
        <f t="shared" si="1"/>
        <v>0.12146984356956154</v>
      </c>
      <c r="R69" s="17">
        <f t="shared" si="2"/>
        <v>6.0734921784780772E-2</v>
      </c>
      <c r="S69" s="18">
        <f t="shared" si="4"/>
        <v>0.24065991663219075</v>
      </c>
      <c r="T69" s="18">
        <f t="shared" si="3"/>
        <v>0.75934008336780923</v>
      </c>
      <c r="AJ69"/>
      <c r="AK69"/>
      <c r="AL69"/>
      <c r="AM69"/>
      <c r="AN69"/>
      <c r="AO69"/>
      <c r="AP69"/>
      <c r="AQ69"/>
      <c r="AR69"/>
      <c r="AT69" s="37"/>
    </row>
    <row r="70" spans="3:46" x14ac:dyDescent="0.2">
      <c r="C70" s="20">
        <v>42</v>
      </c>
      <c r="D70" s="21">
        <v>5.7917195473413008E-2</v>
      </c>
      <c r="E70"/>
      <c r="O70" s="24">
        <v>42</v>
      </c>
      <c r="P70" s="15">
        <f t="shared" si="0"/>
        <v>5.7917195473413008E-2</v>
      </c>
      <c r="Q70" s="16">
        <f t="shared" si="1"/>
        <v>0.1214306921588577</v>
      </c>
      <c r="R70" s="17">
        <f t="shared" si="2"/>
        <v>6.0715346079428849E-2</v>
      </c>
      <c r="S70" s="18">
        <f t="shared" si="4"/>
        <v>0.22648290252142592</v>
      </c>
      <c r="T70" s="18">
        <f t="shared" si="3"/>
        <v>0.77351709747857411</v>
      </c>
      <c r="AJ70"/>
      <c r="AK70"/>
      <c r="AL70"/>
      <c r="AM70"/>
      <c r="AN70"/>
      <c r="AO70"/>
      <c r="AP70"/>
      <c r="AQ70"/>
      <c r="AR70"/>
      <c r="AT70" s="37"/>
    </row>
    <row r="71" spans="3:46" x14ac:dyDescent="0.2">
      <c r="C71" s="20">
        <v>43</v>
      </c>
      <c r="D71" s="21">
        <v>5.1294505134529711E-2</v>
      </c>
      <c r="E71"/>
      <c r="O71" s="24">
        <v>43</v>
      </c>
      <c r="P71" s="15">
        <f t="shared" si="0"/>
        <v>5.1294505134529711E-2</v>
      </c>
      <c r="Q71" s="16">
        <f t="shared" si="1"/>
        <v>0.12133169828870057</v>
      </c>
      <c r="R71" s="17">
        <f t="shared" si="2"/>
        <v>6.0665849144350283E-2</v>
      </c>
      <c r="S71" s="18">
        <f t="shared" si="4"/>
        <v>0.21315159099200889</v>
      </c>
      <c r="T71" s="18">
        <f t="shared" si="3"/>
        <v>0.78684840900799113</v>
      </c>
      <c r="AJ71"/>
      <c r="AK71"/>
      <c r="AL71"/>
      <c r="AM71"/>
      <c r="AN71"/>
      <c r="AO71"/>
      <c r="AP71"/>
      <c r="AQ71"/>
      <c r="AR71"/>
      <c r="AT71" s="37"/>
    </row>
    <row r="72" spans="3:46" x14ac:dyDescent="0.2">
      <c r="C72" s="20">
        <v>44</v>
      </c>
      <c r="D72" s="21">
        <v>4.543360074242464E-2</v>
      </c>
      <c r="E72"/>
      <c r="O72" s="24">
        <v>44</v>
      </c>
      <c r="P72" s="15">
        <f t="shared" si="0"/>
        <v>4.543360074242464E-2</v>
      </c>
      <c r="Q72" s="16">
        <f t="shared" si="1"/>
        <v>0.12117933726232513</v>
      </c>
      <c r="R72" s="17">
        <f t="shared" si="2"/>
        <v>6.0589668631162566E-2</v>
      </c>
      <c r="S72" s="18">
        <f t="shared" si="4"/>
        <v>0.20062027430519319</v>
      </c>
      <c r="T72" s="18">
        <f t="shared" si="3"/>
        <v>0.79937972569480675</v>
      </c>
      <c r="AJ72"/>
      <c r="AK72"/>
      <c r="AL72"/>
      <c r="AM72"/>
      <c r="AN72"/>
      <c r="AO72"/>
      <c r="AP72"/>
      <c r="AQ72"/>
      <c r="AR72"/>
      <c r="AT72" s="37"/>
    </row>
    <row r="73" spans="3:46" x14ac:dyDescent="0.2">
      <c r="C73" s="20">
        <v>45</v>
      </c>
      <c r="D73" s="21">
        <v>4.0248494462290951E-2</v>
      </c>
      <c r="E73"/>
      <c r="O73" s="24">
        <v>45</v>
      </c>
      <c r="P73" s="15">
        <f t="shared" si="0"/>
        <v>4.0248494462290951E-2</v>
      </c>
      <c r="Q73" s="16">
        <f t="shared" si="1"/>
        <v>0.12097939572523431</v>
      </c>
      <c r="R73" s="17">
        <f t="shared" si="2"/>
        <v>6.0489697862617153E-2</v>
      </c>
      <c r="S73" s="18">
        <f t="shared" si="4"/>
        <v>0.18884455963481769</v>
      </c>
      <c r="T73" s="18">
        <f t="shared" si="3"/>
        <v>0.81115544036518228</v>
      </c>
      <c r="AJ73"/>
      <c r="AK73"/>
      <c r="AL73"/>
      <c r="AM73"/>
      <c r="AN73"/>
      <c r="AO73"/>
      <c r="AP73"/>
      <c r="AQ73"/>
      <c r="AR73"/>
      <c r="AT73" s="37"/>
    </row>
    <row r="74" spans="3:46" x14ac:dyDescent="0.2">
      <c r="C74" s="20">
        <v>46</v>
      </c>
      <c r="D74" s="21">
        <v>3.5662267703668205E-2</v>
      </c>
      <c r="E74"/>
      <c r="O74" s="24">
        <v>46</v>
      </c>
      <c r="P74" s="15">
        <f t="shared" si="0"/>
        <v>3.5662267703668205E-2</v>
      </c>
      <c r="Q74" s="16">
        <f t="shared" si="1"/>
        <v>0.12073705027477381</v>
      </c>
      <c r="R74" s="17">
        <f t="shared" si="2"/>
        <v>6.0368525137386907E-2</v>
      </c>
      <c r="S74" s="18">
        <f t="shared" si="4"/>
        <v>0.17778157956956087</v>
      </c>
      <c r="T74" s="18">
        <f t="shared" si="3"/>
        <v>0.82221842043043913</v>
      </c>
      <c r="AJ74"/>
      <c r="AK74"/>
      <c r="AL74"/>
      <c r="AM74"/>
      <c r="AN74"/>
      <c r="AO74"/>
      <c r="AP74"/>
      <c r="AQ74"/>
      <c r="AR74"/>
      <c r="AT74" s="37"/>
    </row>
    <row r="75" spans="3:46" x14ac:dyDescent="0.2">
      <c r="C75" s="20">
        <v>47</v>
      </c>
      <c r="D75" s="21">
        <v>3.1606290034248086E-2</v>
      </c>
      <c r="E75"/>
      <c r="O75" s="24">
        <v>47</v>
      </c>
      <c r="P75" s="15">
        <f t="shared" si="0"/>
        <v>3.1606290034248086E-2</v>
      </c>
      <c r="Q75" s="16">
        <f t="shared" si="1"/>
        <v>0.12045693651537326</v>
      </c>
      <c r="R75" s="17">
        <f t="shared" si="2"/>
        <v>6.0228468257686629E-2</v>
      </c>
      <c r="S75" s="18">
        <f t="shared" si="4"/>
        <v>0.16739013866083813</v>
      </c>
      <c r="T75" s="18">
        <f t="shared" si="3"/>
        <v>0.83260986133916193</v>
      </c>
      <c r="AJ75"/>
      <c r="AK75"/>
      <c r="AL75"/>
      <c r="AM75"/>
      <c r="AN75"/>
      <c r="AO75"/>
      <c r="AP75"/>
      <c r="AQ75"/>
      <c r="AR75"/>
      <c r="AT75" s="37"/>
    </row>
    <row r="76" spans="3:46" x14ac:dyDescent="0.2">
      <c r="C76" s="20">
        <v>48</v>
      </c>
      <c r="D76" s="21">
        <v>2.8019458520894602E-2</v>
      </c>
      <c r="E76"/>
      <c r="O76" s="24">
        <v>48</v>
      </c>
      <c r="P76" s="15">
        <f t="shared" si="0"/>
        <v>2.8019458520894602E-2</v>
      </c>
      <c r="Q76" s="16">
        <f t="shared" si="1"/>
        <v>0.1201432097531865</v>
      </c>
      <c r="R76" s="17">
        <f t="shared" si="2"/>
        <v>6.007160487659325E-2</v>
      </c>
      <c r="S76" s="18">
        <f t="shared" si="4"/>
        <v>0.15763080832383303</v>
      </c>
      <c r="T76" s="18">
        <f t="shared" si="3"/>
        <v>0.84236919167616697</v>
      </c>
      <c r="AJ76"/>
      <c r="AK76"/>
      <c r="AL76"/>
      <c r="AM76"/>
      <c r="AN76"/>
      <c r="AO76"/>
      <c r="AP76"/>
      <c r="AQ76"/>
      <c r="AR76"/>
      <c r="AT76" s="37"/>
    </row>
    <row r="77" spans="3:46" x14ac:dyDescent="0.2">
      <c r="C77" s="20">
        <v>49</v>
      </c>
      <c r="D77" s="21">
        <v>2.4847471732824977E-2</v>
      </c>
      <c r="E77"/>
      <c r="O77" s="24">
        <v>49</v>
      </c>
      <c r="P77" s="15">
        <f t="shared" si="0"/>
        <v>2.4847471732824977E-2</v>
      </c>
      <c r="Q77" s="16">
        <f t="shared" si="1"/>
        <v>0.11979959838131723</v>
      </c>
      <c r="R77" s="17">
        <f t="shared" si="2"/>
        <v>5.9899799190658617E-2</v>
      </c>
      <c r="S77" s="18">
        <f t="shared" si="4"/>
        <v>0.14846598034570369</v>
      </c>
      <c r="T77" s="18">
        <f t="shared" si="3"/>
        <v>0.85153401965429631</v>
      </c>
      <c r="AJ77"/>
      <c r="AK77"/>
      <c r="AL77"/>
      <c r="AM77"/>
      <c r="AN77"/>
      <c r="AO77"/>
      <c r="AP77"/>
      <c r="AQ77"/>
      <c r="AR77"/>
      <c r="AT77" s="37"/>
    </row>
    <row r="78" spans="3:46" x14ac:dyDescent="0.2">
      <c r="C78" s="20">
        <v>50</v>
      </c>
      <c r="D78" s="21">
        <v>2.2042147320010863E-2</v>
      </c>
      <c r="E78"/>
      <c r="O78" s="24">
        <v>50</v>
      </c>
      <c r="P78" s="15">
        <f t="shared" si="0"/>
        <v>2.2042147320010863E-2</v>
      </c>
      <c r="Q78" s="16" t="str">
        <f t="shared" si="1"/>
        <v>n/a</v>
      </c>
      <c r="R78" s="17" t="str">
        <f t="shared" si="2"/>
        <v>n/a</v>
      </c>
      <c r="S78" s="18" t="str">
        <f t="shared" si="4"/>
        <v>n/a</v>
      </c>
      <c r="T78" s="18" t="str">
        <f t="shared" si="3"/>
        <v>n/a</v>
      </c>
      <c r="AJ78"/>
      <c r="AK78"/>
      <c r="AL78"/>
      <c r="AM78"/>
      <c r="AN78"/>
      <c r="AO78"/>
      <c r="AP78"/>
      <c r="AQ78"/>
      <c r="AR78"/>
      <c r="AT78" s="37"/>
    </row>
    <row r="79" spans="3:46" x14ac:dyDescent="0.2">
      <c r="AJ79"/>
      <c r="AK79"/>
      <c r="AL79"/>
      <c r="AM79"/>
      <c r="AN79"/>
      <c r="AO79"/>
      <c r="AP79"/>
      <c r="AQ79"/>
      <c r="AR79"/>
      <c r="AT79" s="37"/>
    </row>
    <row r="80" spans="3:46" x14ac:dyDescent="0.2">
      <c r="AH80"/>
      <c r="AI80"/>
      <c r="AJ80"/>
      <c r="AK80"/>
      <c r="AL80"/>
      <c r="AM80"/>
      <c r="AN80"/>
      <c r="AO80"/>
      <c r="AP80"/>
      <c r="AQ80"/>
      <c r="AR80"/>
      <c r="AT80" s="37"/>
    </row>
    <row r="81" spans="2:47" x14ac:dyDescent="0.2">
      <c r="C81" s="26"/>
      <c r="D81" s="27"/>
      <c r="E81" s="27"/>
      <c r="F81" s="26"/>
      <c r="G81" s="26"/>
      <c r="H81" s="26"/>
      <c r="O81" s="26"/>
      <c r="P81" s="27"/>
      <c r="Q81" s="27"/>
      <c r="R81" s="26"/>
      <c r="S81" s="26"/>
      <c r="T81" s="26"/>
      <c r="AH81"/>
      <c r="AI81"/>
      <c r="AJ81"/>
      <c r="AK81"/>
      <c r="AL81"/>
      <c r="AM81"/>
      <c r="AN81"/>
      <c r="AO81"/>
      <c r="AP81"/>
      <c r="AQ81"/>
      <c r="AR81"/>
      <c r="AT81" s="37"/>
    </row>
    <row r="82" spans="2:47" ht="117" customHeight="1" x14ac:dyDescent="0.2">
      <c r="B82" s="25"/>
      <c r="C82" s="45" t="s">
        <v>10</v>
      </c>
      <c r="D82" s="46"/>
      <c r="E82" s="46"/>
      <c r="F82" s="46"/>
      <c r="G82" s="46"/>
      <c r="H82" s="46"/>
      <c r="O82" s="45" t="s">
        <v>14</v>
      </c>
      <c r="P82" s="46"/>
      <c r="Q82" s="46"/>
      <c r="R82" s="46"/>
      <c r="S82" s="46"/>
      <c r="T82" s="46"/>
      <c r="AH82"/>
      <c r="AI82"/>
      <c r="AJ82"/>
      <c r="AK82"/>
      <c r="AL82"/>
      <c r="AM82"/>
      <c r="AN82"/>
      <c r="AO82"/>
      <c r="AP82"/>
      <c r="AQ82"/>
      <c r="AR82"/>
      <c r="AT82" s="37"/>
    </row>
    <row r="83" spans="2:47" x14ac:dyDescent="0.2">
      <c r="AH83"/>
      <c r="AI83"/>
      <c r="AJ83"/>
      <c r="AK83"/>
      <c r="AL83"/>
      <c r="AM83"/>
      <c r="AN83"/>
      <c r="AO83"/>
      <c r="AP83"/>
      <c r="AQ83"/>
      <c r="AR83"/>
      <c r="AT83" s="37"/>
    </row>
    <row r="84" spans="2:47" x14ac:dyDescent="0.2">
      <c r="AH84"/>
      <c r="AI84"/>
      <c r="AJ84"/>
      <c r="AK84"/>
      <c r="AL84"/>
      <c r="AM84"/>
      <c r="AN84"/>
      <c r="AO84"/>
      <c r="AP84"/>
      <c r="AQ84"/>
      <c r="AR84"/>
      <c r="AT84" s="37"/>
    </row>
    <row r="85" spans="2:47" x14ac:dyDescent="0.2">
      <c r="AH85"/>
      <c r="AI85"/>
      <c r="AJ85"/>
      <c r="AK85"/>
      <c r="AL85"/>
      <c r="AM85"/>
      <c r="AN85"/>
      <c r="AO85"/>
      <c r="AP85"/>
      <c r="AQ85"/>
      <c r="AR85"/>
      <c r="AT85" s="37"/>
    </row>
    <row r="86" spans="2:47" x14ac:dyDescent="0.2">
      <c r="AH86"/>
      <c r="AI86"/>
      <c r="AJ86"/>
      <c r="AK86"/>
      <c r="AL86"/>
      <c r="AM86"/>
      <c r="AN86"/>
      <c r="AO86"/>
      <c r="AP86"/>
      <c r="AQ86"/>
      <c r="AR86"/>
      <c r="AT86" s="37"/>
    </row>
    <row r="87" spans="2:47" x14ac:dyDescent="0.2">
      <c r="AS87" s="2"/>
      <c r="AT87" s="38"/>
    </row>
    <row r="88" spans="2:47" x14ac:dyDescent="0.2">
      <c r="AS88" s="2"/>
      <c r="AT88" s="38"/>
    </row>
    <row r="89" spans="2:47" x14ac:dyDescent="0.2">
      <c r="D89" s="2"/>
      <c r="E89" s="2"/>
      <c r="AS89" s="2"/>
      <c r="AT89" s="38"/>
    </row>
    <row r="90" spans="2:47" x14ac:dyDescent="0.2">
      <c r="D90" s="2"/>
      <c r="E90" s="2"/>
      <c r="AS90" s="40"/>
      <c r="AT90" s="2"/>
    </row>
    <row r="91" spans="2:47" x14ac:dyDescent="0.2">
      <c r="D91" s="2"/>
      <c r="E91" s="2"/>
      <c r="AS91" s="40"/>
      <c r="AU91"/>
    </row>
    <row r="92" spans="2:47" s="39" customFormat="1" ht="17" thickBot="1" x14ac:dyDescent="0.25">
      <c r="AS92" s="41"/>
      <c r="AT92"/>
      <c r="AU92"/>
    </row>
    <row r="93" spans="2:47" x14ac:dyDescent="0.2">
      <c r="D93" s="2"/>
      <c r="E93" s="2"/>
      <c r="AS93" s="2"/>
      <c r="AU93"/>
    </row>
    <row r="94" spans="2:47" x14ac:dyDescent="0.2">
      <c r="D94" s="2"/>
      <c r="E94" s="2"/>
    </row>
    <row r="95" spans="2:47" x14ac:dyDescent="0.2">
      <c r="D95" s="2"/>
      <c r="E95" s="2"/>
    </row>
    <row r="96" spans="2:47" x14ac:dyDescent="0.2">
      <c r="D96" s="2"/>
      <c r="E96" s="2"/>
    </row>
    <row r="97" spans="4:5" hidden="1" x14ac:dyDescent="0.2">
      <c r="D97" s="2"/>
      <c r="E97" s="2"/>
    </row>
    <row r="98" spans="4:5" hidden="1" x14ac:dyDescent="0.2">
      <c r="D98" s="2"/>
      <c r="E98" s="2"/>
    </row>
    <row r="99" spans="4:5" hidden="1" x14ac:dyDescent="0.2">
      <c r="D99" s="2"/>
      <c r="E99" s="2"/>
    </row>
    <row r="100" spans="4:5" hidden="1" x14ac:dyDescent="0.2">
      <c r="D100" s="2"/>
      <c r="E100" s="2"/>
    </row>
    <row r="101" spans="4:5" hidden="1" x14ac:dyDescent="0.2">
      <c r="D101" s="2"/>
      <c r="E101" s="2"/>
    </row>
    <row r="102" spans="4:5" hidden="1" x14ac:dyDescent="0.2">
      <c r="D102" s="2"/>
      <c r="E102" s="2"/>
    </row>
    <row r="103" spans="4:5" hidden="1" x14ac:dyDescent="0.2">
      <c r="D103" s="2"/>
      <c r="E103" s="2"/>
    </row>
    <row r="104" spans="4:5" hidden="1" x14ac:dyDescent="0.2">
      <c r="D104" s="2"/>
      <c r="E104" s="2"/>
    </row>
    <row r="105" spans="4:5" hidden="1" x14ac:dyDescent="0.2">
      <c r="D105" s="2"/>
      <c r="E105" s="2"/>
    </row>
    <row r="106" spans="4:5" hidden="1" x14ac:dyDescent="0.2">
      <c r="D106" s="2"/>
      <c r="E106" s="2"/>
    </row>
    <row r="107" spans="4:5" hidden="1" x14ac:dyDescent="0.2">
      <c r="D107" s="2"/>
      <c r="E107" s="2"/>
    </row>
    <row r="108" spans="4:5" hidden="1" x14ac:dyDescent="0.2">
      <c r="D108" s="2"/>
      <c r="E108" s="2"/>
    </row>
    <row r="109" spans="4:5" hidden="1" x14ac:dyDescent="0.2">
      <c r="D109" s="2"/>
      <c r="E109" s="2"/>
    </row>
    <row r="110" spans="4:5" hidden="1" x14ac:dyDescent="0.2">
      <c r="D110" s="2"/>
      <c r="E110" s="2"/>
    </row>
    <row r="111" spans="4:5" hidden="1" x14ac:dyDescent="0.2">
      <c r="D111" s="2"/>
      <c r="E111" s="2"/>
    </row>
    <row r="112" spans="4:5" hidden="1" x14ac:dyDescent="0.2">
      <c r="D112" s="2"/>
      <c r="E112" s="2"/>
    </row>
    <row r="113" spans="4:5" hidden="1" x14ac:dyDescent="0.2">
      <c r="D113" s="2"/>
      <c r="E113" s="2"/>
    </row>
    <row r="114" spans="4:5" hidden="1" x14ac:dyDescent="0.2">
      <c r="D114" s="2"/>
      <c r="E114" s="2"/>
    </row>
    <row r="115" spans="4:5" hidden="1" x14ac:dyDescent="0.2">
      <c r="D115" s="2"/>
      <c r="E115" s="2"/>
    </row>
    <row r="116" spans="4:5" hidden="1" x14ac:dyDescent="0.2">
      <c r="D116" s="2"/>
      <c r="E116" s="2"/>
    </row>
    <row r="117" spans="4:5" hidden="1" x14ac:dyDescent="0.2">
      <c r="D117" s="2"/>
      <c r="E117" s="2"/>
    </row>
    <row r="118" spans="4:5" hidden="1" x14ac:dyDescent="0.2">
      <c r="D118" s="2"/>
      <c r="E118" s="2"/>
    </row>
    <row r="119" spans="4:5" hidden="1" x14ac:dyDescent="0.2">
      <c r="D119" s="2"/>
      <c r="E119" s="2"/>
    </row>
    <row r="120" spans="4:5" hidden="1" x14ac:dyDescent="0.2">
      <c r="D120" s="2"/>
      <c r="E120" s="2"/>
    </row>
    <row r="121" spans="4:5" hidden="1" x14ac:dyDescent="0.2">
      <c r="D121" s="2"/>
      <c r="E121" s="2"/>
    </row>
    <row r="122" spans="4:5" hidden="1" x14ac:dyDescent="0.2">
      <c r="D122" s="2"/>
      <c r="E122" s="2"/>
    </row>
    <row r="123" spans="4:5" hidden="1" x14ac:dyDescent="0.2">
      <c r="D123" s="2"/>
      <c r="E123" s="2"/>
    </row>
    <row r="124" spans="4:5" hidden="1" x14ac:dyDescent="0.2">
      <c r="D124" s="2"/>
      <c r="E124" s="2"/>
    </row>
    <row r="125" spans="4:5" hidden="1" x14ac:dyDescent="0.2">
      <c r="D125" s="2"/>
      <c r="E125" s="2"/>
    </row>
    <row r="126" spans="4:5" hidden="1" x14ac:dyDescent="0.2">
      <c r="D126" s="2"/>
      <c r="E126" s="2"/>
    </row>
    <row r="127" spans="4:5" hidden="1" x14ac:dyDescent="0.2">
      <c r="D127" s="2"/>
      <c r="E127" s="2"/>
    </row>
    <row r="128" spans="4:5" hidden="1" x14ac:dyDescent="0.2">
      <c r="D128" s="2"/>
      <c r="E128" s="2"/>
    </row>
    <row r="129" spans="4:5" hidden="1" x14ac:dyDescent="0.2">
      <c r="D129" s="2"/>
      <c r="E129" s="2"/>
    </row>
    <row r="130" spans="4:5" hidden="1" x14ac:dyDescent="0.2">
      <c r="D130" s="2"/>
      <c r="E130" s="2"/>
    </row>
    <row r="131" spans="4:5" hidden="1" x14ac:dyDescent="0.2">
      <c r="D131" s="2"/>
      <c r="E131" s="2"/>
    </row>
    <row r="132" spans="4:5" hidden="1" x14ac:dyDescent="0.2">
      <c r="D132" s="2"/>
      <c r="E132" s="2"/>
    </row>
    <row r="133" spans="4:5" hidden="1" x14ac:dyDescent="0.2">
      <c r="D133" s="2"/>
      <c r="E133" s="2"/>
    </row>
    <row r="134" spans="4:5" hidden="1" x14ac:dyDescent="0.2">
      <c r="D134" s="2"/>
      <c r="E134" s="2"/>
    </row>
    <row r="135" spans="4:5" hidden="1" x14ac:dyDescent="0.2">
      <c r="D135" s="2"/>
      <c r="E135" s="2"/>
    </row>
    <row r="136" spans="4:5" hidden="1" x14ac:dyDescent="0.2">
      <c r="D136" s="2"/>
      <c r="E136" s="2"/>
    </row>
    <row r="137" spans="4:5" hidden="1" x14ac:dyDescent="0.2">
      <c r="D137" s="2"/>
      <c r="E137" s="2"/>
    </row>
    <row r="138" spans="4:5" hidden="1" x14ac:dyDescent="0.2">
      <c r="D138" s="2"/>
      <c r="E138" s="2"/>
    </row>
    <row r="139" spans="4:5" hidden="1" x14ac:dyDescent="0.2">
      <c r="D139" s="2"/>
      <c r="E139" s="2"/>
    </row>
    <row r="140" spans="4:5" hidden="1" x14ac:dyDescent="0.2">
      <c r="D140" s="2"/>
      <c r="E140" s="2"/>
    </row>
    <row r="141" spans="4:5" hidden="1" x14ac:dyDescent="0.2">
      <c r="D141" s="2"/>
      <c r="E141" s="2"/>
    </row>
    <row r="142" spans="4:5" hidden="1" x14ac:dyDescent="0.2">
      <c r="D142" s="2"/>
      <c r="E142" s="2"/>
    </row>
    <row r="143" spans="4:5" hidden="1" x14ac:dyDescent="0.2">
      <c r="D143" s="2"/>
      <c r="E143" s="2"/>
    </row>
    <row r="144" spans="4:5" hidden="1" x14ac:dyDescent="0.2">
      <c r="D144" s="2"/>
      <c r="E144" s="2"/>
    </row>
    <row r="145" spans="4:5" hidden="1" x14ac:dyDescent="0.2">
      <c r="D145" s="2"/>
      <c r="E145" s="2"/>
    </row>
    <row r="146" spans="4:5" hidden="1" x14ac:dyDescent="0.2">
      <c r="D146" s="2"/>
      <c r="E146" s="2"/>
    </row>
    <row r="147" spans="4:5" hidden="1" x14ac:dyDescent="0.2">
      <c r="D147" s="2"/>
      <c r="E147" s="2"/>
    </row>
    <row r="148" spans="4:5" hidden="1" x14ac:dyDescent="0.2">
      <c r="D148" s="2"/>
      <c r="E148" s="2"/>
    </row>
    <row r="149" spans="4:5" hidden="1" x14ac:dyDescent="0.2">
      <c r="D149" s="2"/>
      <c r="E149" s="2"/>
    </row>
    <row r="150" spans="4:5" hidden="1" x14ac:dyDescent="0.2">
      <c r="D150" s="2"/>
      <c r="E150" s="2"/>
    </row>
    <row r="151" spans="4:5" hidden="1" x14ac:dyDescent="0.2">
      <c r="D151" s="2"/>
      <c r="E151" s="2"/>
    </row>
    <row r="152" spans="4:5" hidden="1" x14ac:dyDescent="0.2">
      <c r="D152" s="2"/>
      <c r="E152" s="2"/>
    </row>
    <row r="153" spans="4:5" x14ac:dyDescent="0.2"/>
    <row r="154" spans="4:5" x14ac:dyDescent="0.2"/>
    <row r="155" spans="4:5" x14ac:dyDescent="0.2"/>
  </sheetData>
  <mergeCells count="4">
    <mergeCell ref="C82:H82"/>
    <mergeCell ref="O82:T82"/>
    <mergeCell ref="C7:T7"/>
    <mergeCell ref="C18:T18"/>
  </mergeCells>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dc:creator>
  <cp:lastModifiedBy>DZ</cp:lastModifiedBy>
  <dcterms:created xsi:type="dcterms:W3CDTF">2026-04-20T22:40:26Z</dcterms:created>
  <dcterms:modified xsi:type="dcterms:W3CDTF">2026-04-29T21:59:00Z</dcterms:modified>
</cp:coreProperties>
</file>